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284871cd149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7127d11810654837"/>
    <x:sheet xmlns:r="http://schemas.openxmlformats.org/officeDocument/2006/relationships" name="Summary" sheetId="2" r:id="R19458d1095af4dee"/>
    <x:sheet xmlns:r="http://schemas.openxmlformats.org/officeDocument/2006/relationships" name="People" sheetId="3" r:id="R7f3fe120b61a4d62"/>
    <x:sheet xmlns:r="http://schemas.openxmlformats.org/officeDocument/2006/relationships" name="Legend" sheetId="4" r:id="Rd19b5e42e4534933"/>
  </x:sheets>
</x:workbook>
</file>

<file path=xl/sharedStrings.xml><?xml version="1.0" encoding="utf-8"?>
<x:sst xmlns:x="http://schemas.openxmlformats.org/spreadsheetml/2006/main">
  <x:si>
    <x:t xml:space="preserve">Target week</x:t>
  </x:si>
  <x:si>
    <x:t xml:space="preserve">Wk</x:t>
  </x:si>
  <x:si>
    <x:t xml:space="preserve">ID</x:t>
  </x:si>
  <x:si>
    <x:t xml:space="preserve">Category</x:t>
  </x:si>
  <x:si>
    <x:t xml:space="preserve">Task</x:t>
  </x:si>
  <x:si>
    <x:t xml:space="preserve">Scope ref</x:t>
  </x:si>
  <x:si>
    <x:t xml:space="preserve">Owner</x:t>
  </x:si>
  <x:si>
    <x:t xml:space="preserve">Status</x:t>
  </x:si>
  <x:si>
    <x:t xml:space="preserve">Priority</x:t>
  </x:si>
  <x:si>
    <x:t xml:space="preserve">Depends on</x:t>
  </x:si>
  <x:si>
    <x:t xml:space="preserve">Est (days)</x:t>
  </x:si>
  <x:si>
    <x:t xml:space="preserve">Privacy check</x:t>
  </x:si>
  <x:si>
    <x:t xml:space="preserve">Definition of done</x:t>
  </x:si>
  <x:si>
    <x:t xml:space="preserve">Notes</x:t>
  </x:si>
  <x:si>
    <x:t xml:space="preserve">Sep W1</x:t>
  </x:si>
  <x:si>
    <x:t xml:space="preserve">DAT-01</x:t>
  </x:si>
  <x:si>
    <x:t xml:space="preserve">Data</x:t>
  </x:si>
  <x:si>
    <x:t xml:space="preserve">Entity-relationship diagram: student, enrolment, section, component, score</x:t>
  </x:si>
  <x:si>
    <x:t xml:space="preserve">8.2.2</x:t>
  </x:si>
  <x:si>
    <x:t xml:space="preserve">To do</x:t>
  </x:si>
  <x:si>
    <x:t xml:space="preserve">P0</x:t>
  </x:si>
  <x:si>
    <x:t xml:space="preserve">No</x:t>
  </x:si>
  <x:si>
    <x:t xml:space="preserve">Grading structure hangs off section, not student; reviewed by all three members</x:t>
  </x:si>
  <x:si>
    <x:t xml:space="preserve">Sep W2</x:t>
  </x:si>
  <x:si>
    <x:t xml:space="preserve">DAT-02</x:t>
  </x:si>
  <x:si>
    <x:t xml:space="preserve">Migration: core tables, keys and constraints</x:t>
  </x:si>
  <x:si>
    <x:t xml:space="preserve">8.3.2</x:t>
  </x:si>
  <x:si>
    <x:t xml:space="preserve">Yes</x:t>
  </x:si>
  <x:si>
    <x:t xml:space="preserve">Migration runs clean on an empty database and is reversible</x:t>
  </x:si>
  <x:si>
    <x:t xml:space="preserve">Sep W3</x:t>
  </x:si>
  <x:si>
    <x:t xml:space="preserve">PRV-01</x:t>
  </x:si>
  <x:si>
    <x:t xml:space="preserve">Privacy</x:t>
  </x:si>
  <x:si>
    <x:t xml:space="preserve">Consent state in schema plus a guard on every write path</x:t>
  </x:si>
  <x:si>
    <x:t xml:space="preserve">In scope 23</x:t>
  </x:si>
  <x:si>
    <x:t xml:space="preserve">No row is written for a student who has not granted storage consent</x:t>
  </x:si>
  <x:si>
    <x:t xml:space="preserve">DAT-11</x:t>
  </x:si>
  <x:si>
    <x:t xml:space="preserve">Repository layer using parameterised queries only</x:t>
  </x:si>
  <x:si>
    <x:t xml:space="preserve">No string-concatenated SQL anywhere in the repository</x:t>
  </x:si>
  <x:si>
    <x:t xml:space="preserve">DAT-03</x:t>
  </x:si>
  <x:si>
    <x:t xml:space="preserve">Section grading structure storage (components, weights, mode, deadline)</x:t>
  </x:si>
  <x:si>
    <x:t xml:space="preserve">In scope 1</x:t>
  </x:si>
  <x:si>
    <x:t xml:space="preserve">One section row carries the full structure; no per-student duplication</x:t>
  </x:si>
  <x:si>
    <x:t xml:space="preserve">DAT-09</x:t>
  </x:si>
  <x:si>
    <x:t xml:space="preserve">Server-side weight-sum validation with explanatory rejection</x:t>
  </x:si>
  <x:si>
    <x:t xml:space="preserve">In scope 7</x:t>
  </x:si>
  <x:si>
    <x:t xml:space="preserve">A structure summing to 95 percent is rejected with a message naming the gap</x:t>
  </x:si>
  <x:si>
    <x:t xml:space="preserve">DAT-04</x:t>
  </x:si>
  <x:si>
    <x:t xml:space="preserve">Join-by-code: code generation, uniqueness, join operation</x:t>
  </x:si>
  <x:si>
    <x:t xml:space="preserve">In scope 2</x:t>
  </x:si>
  <x:si>
    <x:t xml:space="preserve">Second account joins an existing section and sees the same structure</x:t>
  </x:si>
  <x:si>
    <x:t xml:space="preserve">API-03</x:t>
  </x:si>
  <x:si>
    <x:t xml:space="preserve">API</x:t>
  </x:si>
  <x:si>
    <x:t xml:space="preserve">Course setup and join-by-code endpoints</x:t>
  </x:si>
  <x:si>
    <x:t xml:space="preserve">In scope 1, 2</x:t>
  </x:si>
  <x:si>
    <x:t xml:space="preserve">DAT-04, API-02</x:t>
  </x:si>
  <x:si>
    <x:t xml:space="preserve">Two accounts share one section through the API alone</x:t>
  </x:si>
  <x:si>
    <x:t xml:space="preserve">DAT-06</x:t>
  </x:si>
  <x:si>
    <x:t xml:space="preserve">Score records against components</x:t>
  </x:si>
  <x:si>
    <x:t xml:space="preserve">In scope 4</x:t>
  </x:si>
  <x:si>
    <x:t xml:space="preserve">A score cannot reference a component from another section</x:t>
  </x:si>
  <x:si>
    <x:t xml:space="preserve">DAT-07</x:t>
  </x:si>
  <x:si>
    <x:t xml:space="preserve">Attendance records</x:t>
  </x:si>
  <x:si>
    <x:t xml:space="preserve">In scope 5</x:t>
  </x:si>
  <x:si>
    <x:t xml:space="preserve">P2</x:t>
  </x:si>
  <x:si>
    <x:t xml:space="preserve">Attendance feeds the weighted score when the course weights it</x:t>
  </x:si>
  <x:si>
    <x:t xml:space="preserve">API-04</x:t>
  </x:si>
  <x:si>
    <x:t xml:space="preserve">Score and attendance endpoints</x:t>
  </x:si>
  <x:si>
    <x:t xml:space="preserve">In scope 4, 5</x:t>
  </x:si>
  <x:si>
    <x:t xml:space="preserve">DAT-06, API-02</x:t>
  </x:si>
  <x:si>
    <x:t xml:space="preserve">Scores post and read back correctly for the authenticated student only</x:t>
  </x:si>
  <x:si>
    <x:t xml:space="preserve">API-05</x:t>
  </x:si>
  <x:si>
    <x:t xml:space="preserve">Calculation endpoints: current score, required score, projection</x:t>
  </x:si>
  <x:si>
    <x:t xml:space="preserve">In scope 9-13</x:t>
  </x:si>
  <x:si>
    <x:t xml:space="preserve">ENG-05, API-02</x:t>
  </x:si>
  <x:si>
    <x:t xml:space="preserve">Every numeric field in the response comes from the engine, none computed in the route</x:t>
  </x:si>
  <x:si>
    <x:t xml:space="preserve">DAT-05</x:t>
  </x:si>
  <x:si>
    <x:t xml:space="preserve">Cumulative GPA and credits-earned storage</x:t>
  </x:si>
  <x:si>
    <x:t xml:space="preserve">In scope 3</x:t>
  </x:si>
  <x:si>
    <x:t xml:space="preserve">P1</x:t>
  </x:si>
  <x:si>
    <x:t xml:space="preserve">Values are per student and editable</x:t>
  </x:si>
  <x:si>
    <x:t xml:space="preserve">DAT-08</x:t>
  </x:si>
  <x:si>
    <x:t xml:space="preserve">Repeat-enrolment record with previous grade</x:t>
  </x:si>
  <x:si>
    <x:t xml:space="preserve">In scope 14</x:t>
  </x:si>
  <x:si>
    <x:t xml:space="preserve">Flag plus previous grade stored and readable by the GPAX path</x:t>
  </x:si>
  <x:si>
    <x:t xml:space="preserve">DAT-10</x:t>
  </x:si>
  <x:si>
    <x:t xml:space="preserve">Cascade deletion of all data belonging to one student</x:t>
  </x:si>
  <x:si>
    <x:t xml:space="preserve">In scope 27</x:t>
  </x:si>
  <x:si>
    <x:t xml:space="preserve">Deleting the student row leaves no orphan score, enrolment or consent row</x:t>
  </x:si>
  <x:si>
    <x:t xml:space="preserve">INF-01</x:t>
  </x:si>
  <x:si>
    <x:t xml:space="preserve">Infrastructure</x:t>
  </x:si>
  <x:si>
    <x:t xml:space="preserve">Dockerfile and docker-compose (app, PostgreSQL, Tesseract)</x:t>
  </x:si>
  <x:si>
    <x:t xml:space="preserve">8.5.1</x:t>
  </x:si>
  <x:si>
    <x:t xml:space="preserve">docker compose up gives a running API and an empty database on a teammate's machine</x:t>
  </x:si>
  <x:si>
    <x:t xml:space="preserve">INF-02</x:t>
  </x:si>
  <x:si>
    <x:t xml:space="preserve">Deploy to Render or Railway with public HTTPS</x:t>
  </x:si>
  <x:si>
    <x:t xml:space="preserve">Public URL returns 200 on /health with a valid certificate</x:t>
  </x:si>
  <x:si>
    <x:t xml:space="preserve">INF-03</x:t>
  </x:si>
  <x:si>
    <x:t xml:space="preserve">Environment variables and secret configuration</x:t>
  </x:si>
  <x:si>
    <x:t xml:space="preserve">8.5.2</x:t>
  </x:si>
  <x:si>
    <x:t xml:space="preserve">No credential appears in the repository; app boots from env vars only</x:t>
  </x:si>
  <x:si>
    <x:t xml:space="preserve">LIN-01</x:t>
  </x:si>
  <x:si>
    <x:t xml:space="preserve">LINE</x:t>
  </x:si>
  <x:si>
    <x:t xml:space="preserve">LINE channel and LIFF application registration</x:t>
  </x:si>
  <x:si>
    <x:t xml:space="preserve">Channel secret and access token available as environment variables</x:t>
  </x:si>
  <x:si>
    <x:t xml:space="preserve">LIN-02</x:t>
  </x:si>
  <x:si>
    <x:t xml:space="preserve">Webhook endpoint with HMAC-SHA256 signature verification over the raw body</x:t>
  </x:si>
  <x:si>
    <x:t xml:space="preserve">8.3.4</x:t>
  </x:si>
  <x:si>
    <x:t xml:space="preserve">INF-02, LIN-01</x:t>
  </x:si>
  <x:si>
    <x:t xml:space="preserve">A request with a modified body is rejected before parsing</x:t>
  </x:si>
  <x:si>
    <x:t xml:space="preserve">LIN-03</x:t>
  </x:si>
  <x:si>
    <x:t xml:space="preserve">Return HTTP 200 immediately, process the event asynchronously</x:t>
  </x:si>
  <x:si>
    <x:t xml:space="preserve">Webhook responds under one second regardless of downstream work</x:t>
  </x:si>
  <x:si>
    <x:t xml:space="preserve">INF-04</x:t>
  </x:si>
  <x:si>
    <x:t xml:space="preserve">Migration runner wired into the deploy pipeline</x:t>
  </x:si>
  <x:si>
    <x:t xml:space="preserve">INF-02, DAT-02</x:t>
  </x:si>
  <x:si>
    <x:t xml:space="preserve">A push to main applies pending migrations before the new image serves traffic</x:t>
  </x:si>
  <x:si>
    <x:t xml:space="preserve">INF-06</x:t>
  </x:si>
  <x:si>
    <x:t xml:space="preserve">Branch protection and mandatory PR review</x:t>
  </x:si>
  <x:si>
    <x:t xml:space="preserve">8.3.8</x:t>
  </x:si>
  <x:si>
    <x:t xml:space="preserve">Direct pushes to main are rejected; one approval required</x:t>
  </x:si>
  <x:si>
    <x:t xml:space="preserve">INF-05</x:t>
  </x:si>
  <x:si>
    <x:t xml:space="preserve">GitHub Actions running lint and Jest on every pull request</x:t>
  </x:si>
  <x:si>
    <x:t xml:space="preserve">ENG-02</x:t>
  </x:si>
  <x:si>
    <x:t xml:space="preserve">A PR with a failing engine test cannot be merged</x:t>
  </x:si>
  <x:si>
    <x:t xml:space="preserve">ENG-01</x:t>
  </x:si>
  <x:si>
    <x:t xml:space="preserve">Engine</x:t>
  </x:si>
  <x:si>
    <x:t xml:space="preserve">Define engine public API: function signatures, input and output shapes</x:t>
  </x:si>
  <x:si>
    <x:t xml:space="preserve">7.2.1</x:t>
  </x:si>
  <x:si>
    <x:t xml:space="preserve">Signatures documented and agreed; no function takes a database handle or a clock</x:t>
  </x:si>
  <x:si>
    <x:t xml:space="preserve">API-01</x:t>
  </x:si>
  <x:si>
    <x:t xml:space="preserve">REST contract: endpoints, methods, parameters, JSON responses</x:t>
  </x:si>
  <x:si>
    <x:t xml:space="preserve">8.2.4</x:t>
  </x:si>
  <x:si>
    <x:t xml:space="preserve">Written and agreed before implementation so client and server can proceed in parallel</x:t>
  </x:si>
  <x:si>
    <x:t xml:space="preserve">UI-01</x:t>
  </x:si>
  <x:si>
    <x:t xml:space="preserve">Client</x:t>
  </x:si>
  <x:si>
    <x:t xml:space="preserve">Figma wireframes for the seven core screens</x:t>
  </x:si>
  <x:si>
    <x:t xml:space="preserve">8.2.3</x:t>
  </x:si>
  <x:si>
    <x:t xml:space="preserve">Consent, setup, join, score entry, OCR confirmation, course detail, GPAX comparison all drawn</x:t>
  </x:si>
  <x:si>
    <x:t xml:space="preserve">ENG-10</x:t>
  </x:si>
  <x:si>
    <x:t xml:space="preserve">Grade scale, letter thresholds and grade-point constants</x:t>
  </x:si>
  <x:si>
    <x:t xml:space="preserve">Constants live in one module; no magic number appears elsewhere</x:t>
  </x:si>
  <x:si>
    <x:t xml:space="preserve">Current weighted score per course</x:t>
  </x:si>
  <x:si>
    <x:t xml:space="preserve">In scope 9</x:t>
  </x:si>
  <x:si>
    <x:t xml:space="preserve">Returns score and the weight actually graded so far; pure, no I/O</x:t>
  </x:si>
  <x:si>
    <x:t xml:space="preserve">ENG-03</x:t>
  </x:si>
  <x:si>
    <x:t xml:space="preserve">Minimum required score on remaining assessments</x:t>
  </x:si>
  <x:si>
    <x:t xml:space="preserve">In scope 10</x:t>
  </x:si>
  <x:si>
    <x:t xml:space="preserve">Matches the RogerHub formula on three hand-checked cases</x:t>
  </x:si>
  <x:si>
    <x:t xml:space="preserve">ENG-04</x:t>
  </x:si>
  <x:si>
    <x:t xml:space="preserve">Target unreachability detection</x:t>
  </x:si>
  <x:si>
    <x:t xml:space="preserve">In scope 11</x:t>
  </x:si>
  <x:si>
    <x:t xml:space="preserve">Returns unreachable when required score exceeds the maximum obtainable</x:t>
  </x:si>
  <x:si>
    <x:t xml:space="preserve">ENG-05</x:t>
  </x:si>
  <x:si>
    <x:t xml:space="preserve">Criterion-referenced letter grade projection</x:t>
  </x:si>
  <x:si>
    <x:t xml:space="preserve">In scope 12</x:t>
  </x:si>
  <x:si>
    <x:t xml:space="preserve">ENG-02, ENG-10</x:t>
  </x:si>
  <x:si>
    <x:t xml:space="preserve">Projects a letter only when the course is criterion-referenced</x:t>
  </x:si>
  <x:si>
    <x:t xml:space="preserve">ENG-06</x:t>
  </x:si>
  <x:si>
    <x:t xml:space="preserve">Norm-referenced branch: score only, no letter grade</x:t>
  </x:si>
  <x:si>
    <x:t xml:space="preserve">In scope 13</x:t>
  </x:si>
  <x:si>
    <x:t xml:space="preserve">Returns a null letter with an explicit reason code, never a guess</x:t>
  </x:si>
  <x:si>
    <x:t xml:space="preserve">ENG-07</x:t>
  </x:si>
  <x:si>
    <x:t xml:space="preserve">GPAX projection from current GPA and credits earned</x:t>
  </x:si>
  <x:si>
    <x:t xml:space="preserve">In scope 3, 16</x:t>
  </x:si>
  <x:si>
    <x:t xml:space="preserve">Reproduces a hand-calculated GPAX for a three-course scenario</x:t>
  </x:si>
  <x:si>
    <x:t xml:space="preserve">API-02</x:t>
  </x:si>
  <x:si>
    <x:t xml:space="preserve">Express skeleton: routing, request validation, error handling</x:t>
  </x:si>
  <x:si>
    <x:t xml:space="preserve">8.3.3</x:t>
  </x:si>
  <x:si>
    <x:t xml:space="preserve">Invalid payloads return a structured 400 rather than a stack trace</x:t>
  </x:si>
  <x:si>
    <x:t xml:space="preserve">ENG-09</x:t>
  </x:si>
  <x:si>
    <x:t xml:space="preserve">Stay versus withdraw comparison across grade scenarios</x:t>
  </x:si>
  <x:si>
    <x:t xml:space="preserve">In scope 16, 17</x:t>
  </x:si>
  <x:si>
    <x:t xml:space="preserve">ENG-07, ENG-05</x:t>
  </x:si>
  <x:si>
    <x:t xml:space="preserve">Returns both branches plus the delta; never returns a recommendation</x:t>
  </x:si>
  <x:si>
    <x:t xml:space="preserve">QA-01</x:t>
  </x:si>
  <x:si>
    <x:t xml:space="preserve">Verification</x:t>
  </x:si>
  <x:si>
    <x:t xml:space="preserve">Engine unit tests covering the boundary cases</x:t>
  </x:si>
  <x:si>
    <x:t xml:space="preserve">8.4.1</x:t>
  </x:si>
  <x:si>
    <x:t xml:space="preserve">Zero-weight component, unreachable target, norm-referenced, weights not summing, repeated course all covered</x:t>
  </x:si>
  <x:si>
    <x:t xml:space="preserve">ENG-08</x:t>
  </x:si>
  <x:si>
    <x:t xml:space="preserve">Grade-replacement rule for repeated courses</x:t>
  </x:si>
  <x:si>
    <x:t xml:space="preserve">In scope 15</x:t>
  </x:si>
  <x:si>
    <x:t xml:space="preserve">Returns the projected GPAX and the name of the rule applied</x:t>
  </x:si>
  <x:si>
    <x:t xml:space="preserve">Sep W4</x:t>
  </x:si>
  <x:si>
    <x:t xml:space="preserve">API-06</x:t>
  </x:si>
  <x:si>
    <x:t xml:space="preserve">GPAX and stay-versus-withdraw endpoints</x:t>
  </x:si>
  <x:si>
    <x:t xml:space="preserve">ENG-09, API-02</x:t>
  </x:si>
  <x:si>
    <x:t xml:space="preserve">Response carries both branches and the disclaimer text field</x:t>
  </x:si>
  <x:si>
    <x:t xml:space="preserve">API-07</x:t>
  </x:si>
  <x:si>
    <x:t xml:space="preserve">Consent endpoints: grant, withdraw, delete account</x:t>
  </x:si>
  <x:si>
    <x:t xml:space="preserve">In scope 23, 24, 27</x:t>
  </x:si>
  <x:si>
    <x:t xml:space="preserve">DAT-10, API-02</x:t>
  </x:si>
  <x:si>
    <x:t xml:space="preserve">Storage consent and cross-border consent are separate flags with separate endpoints</x:t>
  </x:si>
  <x:si>
    <x:t xml:space="preserve">API-08</x:t>
  </x:si>
  <x:si>
    <x:t xml:space="preserve">LIFF ID token verification middleware</x:t>
  </x:si>
  <x:si>
    <x:t xml:space="preserve">8.3.5</x:t>
  </x:si>
  <x:si>
    <x:t xml:space="preserve">API-02, LIN-01</x:t>
  </x:si>
  <x:si>
    <x:t xml:space="preserve">An expired or forged token is refused before any handler runs</x:t>
  </x:si>
  <x:si>
    <x:t xml:space="preserve">LIN-05</x:t>
  </x:si>
  <x:si>
    <x:t xml:space="preserve">Quick-reply score entry conversation flow</x:t>
  </x:si>
  <x:si>
    <x:t xml:space="preserve">API-04, LIN-03</x:t>
  </x:si>
  <x:si>
    <x:t xml:space="preserve">A student records a score end to end without leaving the chat</x:t>
  </x:si>
  <x:si>
    <x:t xml:space="preserve">UI-02</x:t>
  </x:si>
  <x:si>
    <x:t xml:space="preserve">React and Vite setup, LIFF SDK init, auth bootstrap</x:t>
  </x:si>
  <x:si>
    <x:t xml:space="preserve">LIN-01, API-08</x:t>
  </x:si>
  <x:si>
    <x:t xml:space="preserve">App opens inside LINE and identifies the student server-side</x:t>
  </x:si>
  <x:si>
    <x:t xml:space="preserve">OCR-04</x:t>
  </x:si>
  <x:si>
    <x:t xml:space="preserve">OCR</x:t>
  </x:si>
  <x:si>
    <x:t xml:space="preserve">Manual grading-structure entry as a complete alternative path</x:t>
  </x:si>
  <x:si>
    <x:t xml:space="preserve">In scope 8</x:t>
  </x:si>
  <x:si>
    <x:t xml:space="preserve">UI-04</x:t>
  </x:si>
  <x:si>
    <x:t xml:space="preserve">A student can set up any course without ever using the camera</x:t>
  </x:si>
  <x:si>
    <x:t xml:space="preserve">LIN-04</x:t>
  </x:si>
  <x:si>
    <x:t xml:space="preserve">Rich Menu design and registration</x:t>
  </x:si>
  <x:si>
    <x:t xml:space="preserve">In scope 28</x:t>
  </x:si>
  <x:si>
    <x:t xml:space="preserve">Menu appears in the chat and routes to the correct flow or LIFF screen</x:t>
  </x:si>
  <x:si>
    <x:t xml:space="preserve">UI-03</x:t>
  </x:si>
  <x:si>
    <x:t xml:space="preserve">Course list and course detail screens</x:t>
  </x:si>
  <x:si>
    <x:t xml:space="preserve">API-05, UI-02</x:t>
  </x:si>
  <x:si>
    <x:t xml:space="preserve">Shows current weighted score and required score per course</x:t>
  </x:si>
  <x:si>
    <x:t xml:space="preserve">Grading structure setup and edit screen</x:t>
  </x:si>
  <x:si>
    <x:t xml:space="preserve">API-03, UI-02</x:t>
  </x:si>
  <x:si>
    <x:t xml:space="preserve">Weights must sum to 100 before save is enabled; server still revalidates</x:t>
  </x:si>
  <x:si>
    <x:t xml:space="preserve">UI-05</x:t>
  </x:si>
  <x:si>
    <x:t xml:space="preserve">Join-by-code screen</x:t>
  </x:si>
  <x:si>
    <x:t xml:space="preserve">Wrong code produces a clear Thai error, not a blank screen</x:t>
  </x:si>
  <x:si>
    <x:t xml:space="preserve">UI-06</x:t>
  </x:si>
  <x:si>
    <x:t xml:space="preserve">Score entry and attendance screens</x:t>
  </x:si>
  <x:si>
    <x:t xml:space="preserve">API-04, UI-02</x:t>
  </x:si>
  <x:si>
    <x:t xml:space="preserve">Entry from LIFF and entry from quick reply produce identical stored data</x:t>
  </x:si>
  <x:si>
    <x:t xml:space="preserve">Oct W1</x:t>
  </x:si>
  <x:si>
    <x:t xml:space="preserve">UI-09</x:t>
  </x:si>
  <x:si>
    <x:t xml:space="preserve">Disclaimer component bound to every comparison render</x:t>
  </x:si>
  <x:si>
    <x:t xml:space="preserve">In scope 20</x:t>
  </x:si>
  <x:si>
    <x:t xml:space="preserve">UI-07</x:t>
  </x:si>
  <x:si>
    <x:t xml:space="preserve">It is structurally impossible to render a comparison without the estimate-not-advice text</x:t>
  </x:si>
  <x:si>
    <x:t xml:space="preserve">UI-10</x:t>
  </x:si>
  <x:si>
    <x:t xml:space="preserve">Two separate consent screens: storage, then cross-border transfer</x:t>
  </x:si>
  <x:si>
    <x:t xml:space="preserve">In scope 23, 24</x:t>
  </x:si>
  <x:si>
    <x:t xml:space="preserve">API-07, UI-02</x:t>
  </x:si>
  <x:si>
    <x:t xml:space="preserve">Declining the second still gives a fully working app; the two are never bundled into one tick box</x:t>
  </x:si>
  <x:si>
    <x:t xml:space="preserve">PRV-02</x:t>
  </x:si>
  <x:si>
    <x:t xml:space="preserve">Cross-border consent flag routing explanation to template when declined</x:t>
  </x:si>
  <x:si>
    <x:t xml:space="preserve">In scope 24, 25</x:t>
  </x:si>
  <x:si>
    <x:t xml:space="preserve">EXP-01</x:t>
  </x:si>
  <x:si>
    <x:t xml:space="preserve">With the flag off, no request reaches the external service at all</x:t>
  </x:si>
  <x:si>
    <x:t xml:space="preserve">LIN-06</x:t>
  </x:si>
  <x:si>
    <x:t xml:space="preserve">Push notification sender</x:t>
  </x:si>
  <x:si>
    <x:t xml:space="preserve">In scope 18</x:t>
  </x:si>
  <x:si>
    <x:t xml:space="preserve">A push reaches a test account</x:t>
  </x:si>
  <x:si>
    <x:t xml:space="preserve">LIN-07</x:t>
  </x:si>
  <x:si>
    <x:t xml:space="preserve">Deadline scheduler: unreachable target before withdrawal deadline triggers a push</x:t>
  </x:si>
  <x:si>
    <x:t xml:space="preserve">ENG-04, LIN-06</x:t>
  </x:si>
  <x:si>
    <x:t xml:space="preserve">Job runs on a schedule, is idempotent, and never notifies the same student twice for one course</x:t>
  </x:si>
  <x:si>
    <x:t xml:space="preserve">GPAX and withdrawal comparison view with Recharts</x:t>
  </x:si>
  <x:si>
    <x:t xml:space="preserve">API-06, UI-02</x:t>
  </x:si>
  <x:si>
    <x:t xml:space="preserve">Stay and withdraw branches shown side by side with the numeric delta</x:t>
  </x:si>
  <x:si>
    <x:t xml:space="preserve">UI-11</x:t>
  </x:si>
  <x:si>
    <x:t xml:space="preserve">Account and data deletion screen</x:t>
  </x:si>
  <x:si>
    <x:t xml:space="preserve">Deletion is user-initiated, confirmed, and irreversible</x:t>
  </x:si>
  <x:si>
    <x:t xml:space="preserve">UI-12</x:t>
  </x:si>
  <x:si>
    <x:t xml:space="preserve">Thai copy and terminology pass across all screens</x:t>
  </x:si>
  <x:si>
    <x:t xml:space="preserve">3.8</x:t>
  </x:si>
  <x:si>
    <x:t xml:space="preserve">One reviewer who did not write the screens reads every string for clarity</x:t>
  </x:si>
  <x:si>
    <x:t xml:space="preserve">Explanation</x:t>
  </x:si>
  <x:si>
    <x:t xml:space="preserve">Deterministic Thai template explanation generator</x:t>
  </x:si>
  <x:si>
    <x:t xml:space="preserve">In scope 25</x:t>
  </x:si>
  <x:si>
    <x:t xml:space="preserve">Produces a complete, correct Thai explanation with the language model switched off</x:t>
  </x:si>
  <x:si>
    <x:t xml:space="preserve">EXP-02</x:t>
  </x:si>
  <x:si>
    <x:t xml:space="preserve">Anonymised payload builder for the external service</x:t>
  </x:si>
  <x:si>
    <x:t xml:space="preserve">In scope 26</x:t>
  </x:si>
  <x:si>
    <x:t xml:space="preserve">Payload contains no name, LINE user id, course id or individual component score</x:t>
  </x:si>
  <x:si>
    <x:t xml:space="preserve">QA-02</x:t>
  </x:si>
  <x:si>
    <x:t xml:space="preserve">Integration test: tampered webhook body is rejected</x:t>
  </x:si>
  <x:si>
    <x:t xml:space="preserve">8.4.2</x:t>
  </x:si>
  <x:si>
    <x:t xml:space="preserve">Test fails if signature verification is removed</x:t>
  </x:si>
  <x:si>
    <x:t xml:space="preserve">QA-03</x:t>
  </x:si>
  <x:si>
    <x:t xml:space="preserve">Integration test: expired ID token is refused</x:t>
  </x:si>
  <x:si>
    <x:t xml:space="preserve">Test fails if verification is downgraded to decode-only</x:t>
  </x:si>
  <x:si>
    <x:t xml:space="preserve">UI-08</x:t>
  </x:si>
  <x:si>
    <x:t xml:space="preserve">Non-GPAX withdrawal considerations panel</x:t>
  </x:si>
  <x:si>
    <x:t xml:space="preserve">In scope 19</x:t>
  </x:si>
  <x:si>
    <x:t xml:space="preserve">Lists lost credits, prerequisite dependencies, re-offering and fee implications</x:t>
  </x:si>
  <x:si>
    <x:t xml:space="preserve">Oct W2</x:t>
  </x:si>
  <x:si>
    <x:t xml:space="preserve">QA-05</x:t>
  </x:si>
  <x:si>
    <x:t xml:space="preserve">System test of the full flow on the deployed instance</x:t>
  </x:si>
  <x:si>
    <x:t xml:space="preserve">8.4.3</x:t>
  </x:si>
  <x:si>
    <x:t xml:space="preserve">UI-07, LIN-05</x:t>
  </x:si>
  <x:si>
    <x:t xml:space="preserve">Set up, join from a second account, record, calculate, receive notification, all on production</x:t>
  </x:si>
  <x:si>
    <x:t xml:space="preserve">PRV-03</x:t>
  </x:si>
  <x:si>
    <x:t xml:space="preserve">PDPA data inventory: what is stored, why, where it goes, how it is deleted</x:t>
  </x:si>
  <x:si>
    <x:t xml:space="preserve">3.9, 3.10</x:t>
  </x:si>
  <x:si>
    <x:t xml:space="preserve">One page listing every stored field and its lawful basis, ready for the report</x:t>
  </x:si>
  <x:si>
    <x:t xml:space="preserve">QA-06</x:t>
  </x:si>
  <x:si>
    <x:t xml:space="preserve">UAT protocol: task list, observation sheet, consent for testers</x:t>
  </x:si>
  <x:si>
    <x:t xml:space="preserve">8.4.4</x:t>
  </x:si>
  <x:si>
    <x:t xml:space="preserve">Written before testing so results are comparable across participants</x:t>
  </x:si>
  <x:si>
    <x:t xml:space="preserve">DOC-01</x:t>
  </x:si>
  <x:si>
    <x:t xml:space="preserve">Documentation</x:t>
  </x:si>
  <x:si>
    <x:t xml:space="preserve">Architecture document and four-layer diagram</x:t>
  </x:si>
  <x:si>
    <x:t xml:space="preserve">8.2.1</x:t>
  </x:si>
  <x:si>
    <x:t xml:space="preserve">Matches what was built, not what was proposed in August</x:t>
  </x:si>
  <x:si>
    <x:t xml:space="preserve">DOC-02</x:t>
  </x:si>
  <x:si>
    <x:t xml:space="preserve">README and local setup instructions</x:t>
  </x:si>
  <x:si>
    <x:t xml:space="preserve">A teammate clones and runs the stack from the README alone</x:t>
  </x:si>
  <x:si>
    <x:t xml:space="preserve">OCR-01</x:t>
  </x:si>
  <x:si>
    <x:t xml:space="preserve">Tesseract in the container with Thai and English language data</x:t>
  </x:si>
  <x:si>
    <x:t xml:space="preserve">In scope 6</x:t>
  </x:si>
  <x:si>
    <x:t xml:space="preserve">Image never leaves the container; OCR runs with no outbound request</x:t>
  </x:si>
  <x:si>
    <x:t xml:space="preserve">OCR-02</x:t>
  </x:si>
  <x:si>
    <x:t xml:space="preserve">Syllabus table parsing into components and weights</x:t>
  </x:si>
  <x:si>
    <x:t xml:space="preserve">Extracts a usable draft from five real KKU syllabus photos</x:t>
  </x:si>
  <x:si>
    <x:t xml:space="preserve">OCR-03</x:t>
  </x:si>
  <x:si>
    <x:t xml:space="preserve">Mandatory confirmation and correction screen</x:t>
  </x:si>
  <x:si>
    <x:t xml:space="preserve">OCR-02, UI-04</x:t>
  </x:si>
  <x:si>
    <x:t xml:space="preserve">Nothing extracted is stored until the student confirms or corrects it</x:t>
  </x:si>
  <x:si>
    <x:t xml:space="preserve">EXP-03</x:t>
  </x:si>
  <x:si>
    <x:t xml:space="preserve">Gemini client with timeout and fallback to template</x:t>
  </x:si>
  <x:si>
    <x:t xml:space="preserve">In scope 21</x:t>
  </x:si>
  <x:si>
    <x:t xml:space="preserve">EXP-02, EXP-01</x:t>
  </x:si>
  <x:si>
    <x:t xml:space="preserve">A timeout or error silently falls back to the template, never to an empty reply</x:t>
  </x:si>
  <x:si>
    <x:t xml:space="preserve">EXP-04</x:t>
  </x:si>
  <x:si>
    <x:t xml:space="preserve">Numeric verification of model output against the engine</x:t>
  </x:si>
  <x:si>
    <x:t xml:space="preserve">In scope 22</x:t>
  </x:si>
  <x:si>
    <x:t xml:space="preserve">A deliberately altered number causes the response to be discarded and the template used</x:t>
  </x:si>
  <x:si>
    <x:t xml:space="preserve">QA-04</x:t>
  </x:si>
  <x:si>
    <x:t xml:space="preserve">Integration test: incorrect model number is discarded</x:t>
  </x:si>
  <x:si>
    <x:t xml:space="preserve">Injected wrong number never reaches the student</x:t>
  </x:si>
  <x:si>
    <x:t xml:space="preserve">Oct W3</x:t>
  </x:si>
  <x:si>
    <x:t xml:space="preserve">QA-07</x:t>
  </x:si>
  <x:si>
    <x:t xml:space="preserve">UAT sessions with 5 to 8 DME students and result recording</x:t>
  </x:si>
  <x:si>
    <x:t xml:space="preserve">QA-05, QA-06</x:t>
  </x:si>
  <x:si>
    <x:t xml:space="preserve">Per participant: which tasks completed unaided, and the step at which any failure occurred</x:t>
  </x:si>
  <x:si>
    <x:t xml:space="preserve">Oct W4</x:t>
  </x:si>
  <x:si>
    <x:t xml:space="preserve">DOC-03</x:t>
  </x:si>
  <x:si>
    <x:t xml:space="preserve">Final report</x:t>
  </x:si>
  <x:si>
    <x:t xml:space="preserve">9</x:t>
  </x:si>
  <x:si>
    <x:t xml:space="preserve">Includes UAT results and an honest limitations section</x:t>
  </x:si>
  <x:si>
    <x:t xml:space="preserve">DOC-04</x:t>
  </x:si>
  <x:si>
    <x:t xml:space="preserve">Demo video, 2 minutes or less</x:t>
  </x:si>
  <x:si>
    <x:t xml:space="preserve">Shows the full loop including the withdrawal comparison</x:t>
  </x:si>
  <x:si>
    <x:t xml:space="preserve">DOC-05</x:t>
  </x:si>
  <x:si>
    <x:t xml:space="preserve">Presentation, 10 minutes or less</x:t>
  </x:si>
  <x:si>
    <x:t xml:space="preserve">Rehearsed to time by all three members</x:t>
  </x:si>
  <x:si>
    <x:t xml:space="preserve">รอดมั้ย (Rord Mai?) task tracker</x:t>
  </x:si>
  <x:si>
    <x:t xml:space="preserve">Every number here is a formula over the Tasks sheet. Do not type into it.</x:t>
  </x:si>
  <x:si>
    <x:t xml:space="preserve">By week (same colours as column A of the Tasks sheet)</x:t>
  </x:si>
  <x:si>
    <x:t xml:space="preserve">Total</x:t>
  </x:si>
  <x:si>
    <x:t xml:space="preserve">Doing</x:t>
  </x:si>
  <x:si>
    <x:t xml:space="preserve">Blocked</x:t>
  </x:si>
  <x:si>
    <x:t xml:space="preserve">Done</x:t>
  </x:si>
  <x:si>
    <x:t xml:space="preserve">% done</x:t>
  </x:si>
  <x:si>
    <x:t xml:space="preserve">Est days</x:t>
  </x:si>
  <x:si>
    <x:t xml:space="preserve">Days left</x:t>
  </x:si>
  <x:si>
    <x:t xml:space="preserve">By priority</x:t>
  </x:si>
  <x:si>
    <x:t xml:space="preserve">By category</x:t>
  </x:si>
  <x:si>
    <x:t xml:space="preserve">By owner</x:t>
  </x:si>
  <x:si>
    <x:t xml:space="preserve">Owner rows read names from the People sheet. Rename there, not here.</x:t>
  </x:si>
  <x:si>
    <x:t xml:space="preserve">Capacity check: Days left per week should not exceed the team total on the People sheet.</x:t>
  </x:si>
  <x:si>
    <x:t xml:space="preserve">Name</x:t>
  </x:si>
  <x:si>
    <x:t xml:space="preserve">Stream</x:t>
  </x:si>
  <x:si>
    <x:t xml:space="preserve">Owns these categories</x:t>
  </x:si>
  <x:si>
    <x:t xml:space="preserve">Capacity (days/week)</x:t>
  </x:si>
  <x:si>
    <x:t xml:space="preserve">Member 1</x:t>
  </x:si>
  <x:si>
    <x:t xml:space="preserve">Core logic</x:t>
  </x:si>
  <x:si>
    <x:t xml:space="preserve">Engine, Verification (unit), Explanation verification</x:t>
  </x:si>
  <x:si>
    <x:t xml:space="preserve">Member 2</x:t>
  </x:si>
  <x:si>
    <x:t xml:space="preserve">Platform</x:t>
  </x:si>
  <x:si>
    <x:t xml:space="preserve">Data, API, LINE, Infrastructure, OCR backend</x:t>
  </x:si>
  <x:si>
    <x:t xml:space="preserve">Member 3</x:t>
  </x:si>
  <x:si>
    <x:t xml:space="preserve">Client, Privacy screens, OCR confirmation, Documentation</x:t>
  </x:si>
  <x:si>
    <x:t xml:space="preserve">Team capacity per week</x:t>
  </x:si>
  <x:si>
    <x:t xml:space="preserve">Replace the placeholder names. The Owner dropdown on the Tasks sheet reads A2:A15. Capacity is person-days of real project work per week, not hours you hope to have.</x:t>
  </x:si>
  <x:si>
    <x:t xml:space="preserve">How to use</x:t>
  </x:si>
  <x:si>
    <x:t xml:space="preserve">Palette</x:t>
  </x:si>
  <x:si>
    <x:t xml:space="preserve">Sunny Beach Day, extended to eight steps. Cool teal at the start of the project, hot coral at submission.</x:t>
  </x:si>
  <x:si>
    <x:t xml:space="preserve">Rows are sorted</x:t>
  </x:si>
  <x:si>
    <x:t xml:space="preserve">Edit these</x:t>
  </x:si>
  <x:si>
    <x:t xml:space="preserve">Owner, Status and Notes. Their headers are the coral ones.</x:t>
  </x:si>
  <x:si>
    <x:t xml:space="preserve">Do not edit</x:t>
  </x:si>
  <x:si>
    <x:t xml:space="preserve">The Summary sheet. Every cell there is a formula counting the Tasks sheet.</x:t>
  </x:si>
  <x:si>
    <x:t xml:space="preserve">Adding a task</x:t>
  </x:si>
  <x:si>
    <x:t xml:space="preserve">Insert a row, give it an ID with the category prefix and the next free number, then re-sort. Dropdowns and Summary formulas already cover rows 2 to 400.</x:t>
  </x:si>
  <x:si>
    <x:t xml:space="preserve">Re-sorting</x:t>
  </x:si>
  <x:si>
    <x:t xml:space="preserve">Week colours</x:t>
  </x:si>
  <x:si>
    <x:t xml:space="preserve">Column A is the solid chip; the rest of the row is the same hue at 22 per cent, which keeps text contrast above 6.9 to 1</x:t>
  </x:si>
  <x:si>
    <x:t xml:space="preserve">#264653   row tint #CFD6D9</x:t>
  </x:si>
  <x:si>
    <x:t xml:space="preserve">#287271   row tint #D0E0E0</x:t>
  </x:si>
  <x:si>
    <x:t xml:space="preserve">#2A9D8F   row tint #D0E9E6</x:t>
  </x:si>
  <x:si>
    <x:t xml:space="preserve">#8AB17D   row tint #E5EEE2</x:t>
  </x:si>
  <x:si>
    <x:t xml:space="preserve">#E9C46A   row tint #FAF2DE</x:t>
  </x:si>
  <x:si>
    <x:t xml:space="preserve">#F4A261   row tint #FDEBDC</x:t>
  </x:si>
  <x:si>
    <x:t xml:space="preserve">#EE8959   row tint #FBE5DA</x:t>
  </x:si>
  <x:si>
    <x:t xml:space="preserve">#E76F51   row tint #FADFD9</x:t>
  </x:si>
  <x:si>
    <x:t xml:space="preserve">Column</x:t>
  </x:si>
  <x:si>
    <x:t xml:space="preserve">Meaning</x:t>
  </x:si>
  <x:si>
    <x:t xml:space="preserve">The week this should be finished. Change it and the row colour when a task slips, or the colours stop telling the truth.</x:t>
  </x:si>
  <x:si>
    <x:t xml:space="preserve">Week number 1 to 8, used for sorting. 1 is September W1.</x:t>
  </x:si>
  <x:si>
    <x:t xml:space="preserve">Category prefix plus a number. Stable: never renumber, because Depends on points at these. Re-sorting never changes an ID, which is the point of having them.</x:t>
  </x:si>
  <x:si>
    <x:t xml:space="preserve">Type of work. The ten categories agreed for this project.</x:t>
  </x:si>
  <x:si>
    <x:t xml:space="preserve">One deliverable, small enough for one person to finish inside a week.</x:t>
  </x:si>
  <x:si>
    <x:t xml:space="preserve">Which numbered item in section 4.1 (In scope) or section 8 (Methodology) of the proposal this satisfies. Every scope item should appear at least once.</x:t>
  </x:si>
  <x:si>
    <x:t xml:space="preserve">One name. Two owners means nobody owns it. Dropdown reads the People sheet.</x:t>
  </x:si>
  <x:si>
    <x:t xml:space="preserve">To do, Doing, Blocked, Done. Blocked is not a synonym for To do: it means another task must finish first, and Notes should say which.</x:t>
  </x:si>
  <x:si>
    <x:t xml:space="preserve">P0, P1, P2. Defined below. Inside a week, clear the P0 block before P1.</x:t>
  </x:si>
  <x:si>
    <x:t xml:space="preserve">IDs that must reach Done before this can start. This column, not the week, is what actually determines order. A task whose dependency sits in a later week is a planning error: fix it when you see it.</x:t>
  </x:si>
  <x:si>
    <x:t xml:space="preserve">Person-days of real work, not calendar days. An estimate you know is optimistic is worse than no estimate.</x:t>
  </x:si>
  <x:si>
    <x:t xml:space="preserve">Yes means the task touches stored personal data or sends data abroad, shown in bold teal. A Yes task is not Done until the three PDPA rules below hold.</x:t>
  </x:si>
  <x:si>
    <x:t xml:space="preserve">The observable condition that ends the task. Written before starting.</x:t>
  </x:si>
  <x:si>
    <x:t xml:space="preserve">Blockers, decisions, PR links.</x:t>
  </x:si>
  <x:si>
    <x:t xml:space="preserve">On the critical path. Something else cannot start until this is done, or the demo cannot be shown without it. Slipping a P0 slips the project.</x:t>
  </x:si>
  <x:si>
    <x:t xml:space="preserve">Required by the proposal scope but blocking nobody. Slipping it costs completeness, not the schedule.</x:t>
  </x:si>
  <x:si>
    <x:t xml:space="preserve">Cuttable. Section 8.6.2 names the cut order: the language model first, because the Thai template is already a complete answer, then OCR, because manual entry is a full alternative.</x:t>
  </x:si>
  <x:si>
    <x:t xml:space="preserve">PDPA rules</x:t>
  </x:si>
  <x:si>
    <x:t xml:space="preserve">Apply to every task whose Privacy check is Yes</x:t>
  </x:si>
  <x:si>
    <x:t xml:space="preserve">Rule 1</x:t>
  </x:si>
  <x:si>
    <x:t xml:space="preserve">If the code path writes student data, it checks the storage consent flag first and stores nothing without it (In scope 23).</x:t>
  </x:si>
  <x:si>
    <x:t xml:space="preserve">Rule 2</x:t>
  </x:si>
  <x:si>
    <x:t xml:space="preserve">If the code path sends data outside Thailand, it checks the separate cross-border flag and falls back to the Thai template (In scope 24, 25).</x:t>
  </x:si>
  <x:si>
    <x:t xml:space="preserve">Rule 3</x:t>
  </x:si>
  <x:si>
    <x:t xml:space="preserve">If a payload leaves the system, it carries only anonymised numeric values: no name, LINE user id, course id, or individual component score (In scope 26).</x:t>
  </x:si>
  <x:si>
    <x:t xml:space="preserve">Example row</x:t>
  </x:si>
  <x:si>
    <x:t xml:space="preserve">How a filled row should look</x:t>
  </x:si>
  <x:si>
    <x:t xml:space="preserve">Sep W2 | 2 | ENG-03 | Engine | Minimum required score on remaining assessments | In scope 10 | Nan | Doing | P0 | ENG-02 | 1.0 | No | Matches the RogerHub formula on three hand-checked cases | branch feat/required-score, PR #14</x:t>
  </x:si>
</x:sst>
</file>

<file path=xl/styles.xml><?xml version="1.0" encoding="utf-8"?>
<x:styleSheet xmlns:x="http://schemas.openxmlformats.org/spreadsheetml/2006/main">
  <x:numFmts count="4">
    <x:numFmt numFmtId="164" formatCode="General"/>
    <x:numFmt numFmtId="165" formatCode="0.0"/>
    <x:numFmt numFmtId="166" formatCode="General"/>
    <x:numFmt numFmtId="167" formatCode="0%"/>
  </x:numFmts>
  <x:fonts count="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color rgb="FF264653"/>
      <x:name val="Arial"/>
    </x:font>
    <x:font>
      <x:b/>
      <x:sz val="10"/>
      <x:color rgb="FF264653"/>
      <x:name val="Arial"/>
    </x:font>
    <x:font>
      <x:b/>
      <x:sz val="14"/>
      <x:color rgb="FF264653"/>
      <x:name val="Arial"/>
    </x:font>
    <x:font>
      <x:i/>
      <x:sz val="9"/>
      <x:color rgb="FF8899A0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264653"/>
      </x:patternFill>
    </x:fill>
    <x:fill>
      <x:patternFill patternType="solid">
        <x:fgColor rgb="FFE76F51"/>
      </x:patternFill>
    </x:fill>
    <x:fill>
      <x:patternFill patternType="solid">
        <x:fgColor rgb="FFCFD6D9"/>
      </x:patternFill>
    </x:fill>
    <x:fill>
      <x:patternFill patternType="solid">
        <x:fgColor rgb="FF287271"/>
      </x:patternFill>
    </x:fill>
    <x:fill>
      <x:patternFill patternType="solid">
        <x:fgColor rgb="FFD0E0E0"/>
      </x:patternFill>
    </x:fill>
    <x:fill>
      <x:patternFill patternType="solid">
        <x:fgColor rgb="FF2A9D8F"/>
      </x:patternFill>
    </x:fill>
    <x:fill>
      <x:patternFill patternType="solid">
        <x:fgColor rgb="FFD0E9E6"/>
      </x:patternFill>
    </x:fill>
    <x:fill>
      <x:patternFill patternType="solid">
        <x:fgColor rgb="FF8AB17D"/>
      </x:patternFill>
    </x:fill>
    <x:fill>
      <x:patternFill patternType="solid">
        <x:fgColor rgb="FFE5EEE2"/>
      </x:patternFill>
    </x:fill>
    <x:fill>
      <x:patternFill patternType="solid">
        <x:fgColor rgb="FFE9C46A"/>
      </x:patternFill>
    </x:fill>
    <x:fill>
      <x:patternFill patternType="solid">
        <x:fgColor rgb="FFFAF2DE"/>
      </x:patternFill>
    </x:fill>
    <x:fill>
      <x:patternFill patternType="solid">
        <x:fgColor rgb="FFF4A261"/>
      </x:patternFill>
    </x:fill>
    <x:fill>
      <x:patternFill patternType="solid">
        <x:fgColor rgb="FFFDEBDC"/>
      </x:patternFill>
    </x:fill>
    <x:fill>
      <x:patternFill patternType="solid">
        <x:fgColor rgb="FFEE8959"/>
      </x:patternFill>
    </x:fill>
    <x:fill>
      <x:patternFill patternType="solid">
        <x:fgColor rgb="FFFBE5DA"/>
      </x:patternFill>
    </x:fill>
    <x:fill>
      <x:patternFill patternType="solid">
        <x:fgColor rgb="FFFADFD9"/>
      </x:patternFill>
    </x:fill>
    <x:fill>
      <x:patternFill patternType="solid">
        <x:fgColor rgb="FFDDEFED"/>
      </x:patternFill>
    </x:fill>
  </x:fills>
  <x:borders count="3">
    <x:border diagonalUp="0" diagonalDown="0"/>
    <x:border diagonalUp="0" diagonalDown="0">
      <x:left style="thin">
        <x:color rgb="FFCFD6D9"/>
      </x:left>
      <x:right style="thin">
        <x:color rgb="FFCFD6D9"/>
      </x:right>
      <x:top style="thin">
        <x:color rgb="FFCFD6D9"/>
      </x:top>
      <x:bottom style="thin">
        <x:color rgb="FFCFD6D9"/>
      </x:bottom>
    </x:border>
    <x:border diagonalUp="0" diagonalDown="0">
      <x:left style="thin">
        <x:color rgb="FFCFD6D9"/>
      </x:left>
      <x:right style="thin">
        <x:color rgb="FFCFD6D9"/>
      </x:right>
      <x:top style="medium">
        <x:color rgb="FF9DACB2"/>
      </x:top>
      <x:bottom style="thin">
        <x:color rgb="FFCFD6D9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98">
    <x:xf numFmtId="164" fontId="0" fillId="0" borderId="0" xfId="0" applyFont="0" applyBorder="0" applyAlignment="0">
      <x:alignment horizontal="general" vertical="bottom" wrapText="0"/>
    </x:xf>
    <x:xf numFmtId="164" fontId="4" fillId="2" borderId="1" xfId="0" applyFont="1" applyBorder="1" applyAlignment="1">
      <x:alignment horizontal="center" vertical="center" wrapText="1"/>
    </x:xf>
    <x:xf numFmtId="164" fontId="4" fillId="3" borderId="1" xfId="0" applyFont="1" applyBorder="1" applyAlignment="1">
      <x:alignment horizontal="center" vertical="center" wrapText="1"/>
    </x:xf>
    <x:xf numFmtId="164" fontId="4" fillId="2" borderId="2" xfId="0" applyFont="1" applyBorder="1" applyAlignment="1">
      <x:alignment horizontal="center" vertical="center" wrapText="0"/>
    </x:xf>
    <x:xf numFmtId="164" fontId="5" fillId="4" borderId="2" xfId="0" applyFont="1" applyBorder="1" applyAlignment="1">
      <x:alignment horizontal="center" vertical="top" wrapText="0"/>
    </x:xf>
    <x:xf numFmtId="164" fontId="5" fillId="4" borderId="2" xfId="0" applyFont="1" applyBorder="1" applyAlignment="1">
      <x:alignment horizontal="general" vertical="top" wrapText="1"/>
    </x:xf>
    <x:xf numFmtId="165" fontId="5" fillId="4" borderId="2" xfId="0" applyFont="1" applyBorder="1" applyAlignment="1">
      <x:alignment horizontal="center" vertical="top" wrapText="0"/>
    </x:xf>
    <x:xf numFmtId="164" fontId="4" fillId="2" borderId="1" xfId="0" applyFont="1" applyBorder="1" applyAlignment="1">
      <x:alignment horizontal="center" vertical="center" wrapText="0"/>
    </x:xf>
    <x:xf numFmtId="164" fontId="5" fillId="4" borderId="1" xfId="0" applyFont="1" applyBorder="1" applyAlignment="1">
      <x:alignment horizontal="center" vertical="top" wrapText="0"/>
    </x:xf>
    <x:xf numFmtId="164" fontId="5" fillId="4" borderId="1" xfId="0" applyFont="1" applyBorder="1" applyAlignment="1">
      <x:alignment horizontal="general" vertical="top" wrapText="1"/>
    </x:xf>
    <x:xf numFmtId="165" fontId="5" fillId="4" borderId="1" xfId="0" applyFont="1" applyBorder="1" applyAlignment="1">
      <x:alignment horizontal="center" vertical="top" wrapText="0"/>
    </x:xf>
    <x:xf numFmtId="164" fontId="4" fillId="5" borderId="2" xfId="0" applyFont="1" applyBorder="1" applyAlignment="1">
      <x:alignment horizontal="center" vertical="center" wrapText="0"/>
    </x:xf>
    <x:xf numFmtId="164" fontId="5" fillId="6" borderId="2" xfId="0" applyFont="1" applyBorder="1" applyAlignment="1">
      <x:alignment horizontal="center" vertical="top" wrapText="0"/>
    </x:xf>
    <x:xf numFmtId="164" fontId="5" fillId="6" borderId="2" xfId="0" applyFont="1" applyBorder="1" applyAlignment="1">
      <x:alignment horizontal="general" vertical="top" wrapText="1"/>
    </x:xf>
    <x:xf numFmtId="165" fontId="5" fillId="6" borderId="2" xfId="0" applyFont="1" applyBorder="1" applyAlignment="1">
      <x:alignment horizontal="center" vertical="top" wrapText="0"/>
    </x:xf>
    <x:xf numFmtId="164" fontId="4" fillId="5" borderId="1" xfId="0" applyFont="1" applyBorder="1" applyAlignment="1">
      <x:alignment horizontal="center" vertical="center" wrapText="0"/>
    </x:xf>
    <x:xf numFmtId="164" fontId="5" fillId="6" borderId="1" xfId="0" applyFont="1" applyBorder="1" applyAlignment="1">
      <x:alignment horizontal="center" vertical="top" wrapText="0"/>
    </x:xf>
    <x:xf numFmtId="164" fontId="5" fillId="6" borderId="1" xfId="0" applyFont="1" applyBorder="1" applyAlignment="1">
      <x:alignment horizontal="general" vertical="top" wrapText="1"/>
    </x:xf>
    <x:xf numFmtId="165" fontId="5" fillId="6" borderId="1" xfId="0" applyFont="1" applyBorder="1" applyAlignment="1">
      <x:alignment horizontal="center" vertical="top" wrapText="0"/>
    </x:xf>
    <x:xf numFmtId="164" fontId="4" fillId="7" borderId="2" xfId="0" applyFont="1" applyBorder="1" applyAlignment="1">
      <x:alignment horizontal="center" vertical="center" wrapText="0"/>
    </x:xf>
    <x:xf numFmtId="164" fontId="5" fillId="8" borderId="2" xfId="0" applyFont="1" applyBorder="1" applyAlignment="1">
      <x:alignment horizontal="center" vertical="top" wrapText="0"/>
    </x:xf>
    <x:xf numFmtId="164" fontId="5" fillId="8" borderId="2" xfId="0" applyFont="1" applyBorder="1" applyAlignment="1">
      <x:alignment horizontal="general" vertical="top" wrapText="1"/>
    </x:xf>
    <x:xf numFmtId="165" fontId="5" fillId="8" borderId="2" xfId="0" applyFont="1" applyBorder="1" applyAlignment="1">
      <x:alignment horizontal="center" vertical="top" wrapText="0"/>
    </x:xf>
    <x:xf numFmtId="164" fontId="4" fillId="7" borderId="1" xfId="0" applyFont="1" applyBorder="1" applyAlignment="1">
      <x:alignment horizontal="center" vertical="center" wrapText="0"/>
    </x:xf>
    <x:xf numFmtId="164" fontId="5" fillId="8" borderId="1" xfId="0" applyFont="1" applyBorder="1" applyAlignment="1">
      <x:alignment horizontal="center" vertical="top" wrapText="0"/>
    </x:xf>
    <x:xf numFmtId="164" fontId="5" fillId="8" borderId="1" xfId="0" applyFont="1" applyBorder="1" applyAlignment="1">
      <x:alignment horizontal="general" vertical="top" wrapText="1"/>
    </x:xf>
    <x:xf numFmtId="165" fontId="5" fillId="8" borderId="1" xfId="0" applyFont="1" applyBorder="1" applyAlignment="1">
      <x:alignment horizontal="center" vertical="top" wrapText="0"/>
    </x:xf>
    <x:xf numFmtId="164" fontId="4" fillId="9" borderId="2" xfId="0" applyFont="1" applyBorder="1" applyAlignment="1">
      <x:alignment horizontal="center" vertical="center" wrapText="0"/>
    </x:xf>
    <x:xf numFmtId="164" fontId="5" fillId="10" borderId="2" xfId="0" applyFont="1" applyBorder="1" applyAlignment="1">
      <x:alignment horizontal="center" vertical="top" wrapText="0"/>
    </x:xf>
    <x:xf numFmtId="164" fontId="5" fillId="10" borderId="2" xfId="0" applyFont="1" applyBorder="1" applyAlignment="1">
      <x:alignment horizontal="general" vertical="top" wrapText="1"/>
    </x:xf>
    <x:xf numFmtId="165" fontId="5" fillId="10" borderId="2" xfId="0" applyFont="1" applyBorder="1" applyAlignment="1">
      <x:alignment horizontal="center" vertical="top" wrapText="0"/>
    </x:xf>
    <x:xf numFmtId="164" fontId="4" fillId="9" borderId="1" xfId="0" applyFont="1" applyBorder="1" applyAlignment="1">
      <x:alignment horizontal="center" vertical="center" wrapText="0"/>
    </x:xf>
    <x:xf numFmtId="164" fontId="5" fillId="10" borderId="1" xfId="0" applyFont="1" applyBorder="1" applyAlignment="1">
      <x:alignment horizontal="center" vertical="top" wrapText="0"/>
    </x:xf>
    <x:xf numFmtId="164" fontId="5" fillId="10" borderId="1" xfId="0" applyFont="1" applyBorder="1" applyAlignment="1">
      <x:alignment horizontal="general" vertical="top" wrapText="1"/>
    </x:xf>
    <x:xf numFmtId="165" fontId="5" fillId="10" borderId="1" xfId="0" applyFont="1" applyBorder="1" applyAlignment="1">
      <x:alignment horizontal="center" vertical="top" wrapText="0"/>
    </x:xf>
    <x:xf numFmtId="164" fontId="6" fillId="11" borderId="2" xfId="0" applyFont="1" applyBorder="1" applyAlignment="1">
      <x:alignment horizontal="center" vertical="center" wrapText="0"/>
    </x:xf>
    <x:xf numFmtId="164" fontId="5" fillId="12" borderId="2" xfId="0" applyFont="1" applyBorder="1" applyAlignment="1">
      <x:alignment horizontal="center" vertical="top" wrapText="0"/>
    </x:xf>
    <x:xf numFmtId="164" fontId="5" fillId="12" borderId="2" xfId="0" applyFont="1" applyBorder="1" applyAlignment="1">
      <x:alignment horizontal="general" vertical="top" wrapText="1"/>
    </x:xf>
    <x:xf numFmtId="165" fontId="5" fillId="12" borderId="2" xfId="0" applyFont="1" applyBorder="1" applyAlignment="1">
      <x:alignment horizontal="center" vertical="top" wrapText="0"/>
    </x:xf>
    <x:xf numFmtId="164" fontId="6" fillId="11" borderId="1" xfId="0" applyFont="1" applyBorder="1" applyAlignment="1">
      <x:alignment horizontal="center" vertical="center" wrapText="0"/>
    </x:xf>
    <x:xf numFmtId="164" fontId="5" fillId="12" borderId="1" xfId="0" applyFont="1" applyBorder="1" applyAlignment="1">
      <x:alignment horizontal="center" vertical="top" wrapText="0"/>
    </x:xf>
    <x:xf numFmtId="164" fontId="5" fillId="12" borderId="1" xfId="0" applyFont="1" applyBorder="1" applyAlignment="1">
      <x:alignment horizontal="general" vertical="top" wrapText="1"/>
    </x:xf>
    <x:xf numFmtId="165" fontId="5" fillId="12" borderId="1" xfId="0" applyFont="1" applyBorder="1" applyAlignment="1">
      <x:alignment horizontal="center" vertical="top" wrapText="0"/>
    </x:xf>
    <x:xf numFmtId="164" fontId="6" fillId="13" borderId="2" xfId="0" applyFont="1" applyBorder="1" applyAlignment="1">
      <x:alignment horizontal="center" vertical="center" wrapText="0"/>
    </x:xf>
    <x:xf numFmtId="164" fontId="5" fillId="14" borderId="2" xfId="0" applyFont="1" applyBorder="1" applyAlignment="1">
      <x:alignment horizontal="center" vertical="top" wrapText="0"/>
    </x:xf>
    <x:xf numFmtId="164" fontId="5" fillId="14" borderId="2" xfId="0" applyFont="1" applyBorder="1" applyAlignment="1">
      <x:alignment horizontal="general" vertical="top" wrapText="1"/>
    </x:xf>
    <x:xf numFmtId="165" fontId="5" fillId="14" borderId="2" xfId="0" applyFont="1" applyBorder="1" applyAlignment="1">
      <x:alignment horizontal="center" vertical="top" wrapText="0"/>
    </x:xf>
    <x:xf numFmtId="164" fontId="6" fillId="13" borderId="1" xfId="0" applyFont="1" applyBorder="1" applyAlignment="1">
      <x:alignment horizontal="center" vertical="center" wrapText="0"/>
    </x:xf>
    <x:xf numFmtId="164" fontId="5" fillId="14" borderId="1" xfId="0" applyFont="1" applyBorder="1" applyAlignment="1">
      <x:alignment horizontal="center" vertical="top" wrapText="0"/>
    </x:xf>
    <x:xf numFmtId="164" fontId="5" fillId="14" borderId="1" xfId="0" applyFont="1" applyBorder="1" applyAlignment="1">
      <x:alignment horizontal="general" vertical="top" wrapText="1"/>
    </x:xf>
    <x:xf numFmtId="165" fontId="5" fillId="14" borderId="1" xfId="0" applyFont="1" applyBorder="1" applyAlignment="1">
      <x:alignment horizontal="center" vertical="top" wrapText="0"/>
    </x:xf>
    <x:xf numFmtId="164" fontId="4" fillId="15" borderId="2" xfId="0" applyFont="1" applyBorder="1" applyAlignment="1">
      <x:alignment horizontal="center" vertical="center" wrapText="0"/>
    </x:xf>
    <x:xf numFmtId="164" fontId="5" fillId="16" borderId="2" xfId="0" applyFont="1" applyBorder="1" applyAlignment="1">
      <x:alignment horizontal="center" vertical="top" wrapText="0"/>
    </x:xf>
    <x:xf numFmtId="164" fontId="5" fillId="16" borderId="2" xfId="0" applyFont="1" applyBorder="1" applyAlignment="1">
      <x:alignment horizontal="general" vertical="top" wrapText="1"/>
    </x:xf>
    <x:xf numFmtId="165" fontId="5" fillId="16" borderId="2" xfId="0" applyFont="1" applyBorder="1" applyAlignment="1">
      <x:alignment horizontal="center" vertical="top" wrapText="0"/>
    </x:xf>
    <x:xf numFmtId="164" fontId="4" fillId="3" borderId="2" xfId="0" applyFont="1" applyBorder="1" applyAlignment="1">
      <x:alignment horizontal="center" vertical="center" wrapText="0"/>
    </x:xf>
    <x:xf numFmtId="164" fontId="5" fillId="17" borderId="2" xfId="0" applyFont="1" applyBorder="1" applyAlignment="1">
      <x:alignment horizontal="center" vertical="top" wrapText="0"/>
    </x:xf>
    <x:xf numFmtId="164" fontId="5" fillId="17" borderId="2" xfId="0" applyFont="1" applyBorder="1" applyAlignment="1">
      <x:alignment horizontal="general" vertical="top" wrapText="1"/>
    </x:xf>
    <x:xf numFmtId="165" fontId="5" fillId="17" borderId="2" xfId="0" applyFont="1" applyBorder="1" applyAlignment="1">
      <x:alignment horizontal="center" vertical="top" wrapText="0"/>
    </x:xf>
    <x:xf numFmtId="164" fontId="4" fillId="3" borderId="1" xfId="0" applyFont="1" applyBorder="1" applyAlignment="1">
      <x:alignment horizontal="center" vertical="center" wrapText="0"/>
    </x:xf>
    <x:xf numFmtId="164" fontId="5" fillId="17" borderId="1" xfId="0" applyFont="1" applyBorder="1" applyAlignment="1">
      <x:alignment horizontal="center" vertical="top" wrapText="0"/>
    </x:xf>
    <x:xf numFmtId="164" fontId="5" fillId="17" borderId="1" xfId="0" applyFont="1" applyBorder="1" applyAlignment="1">
      <x:alignment horizontal="general" vertical="top" wrapText="1"/>
    </x:xf>
    <x:xf numFmtId="165" fontId="5" fillId="17" borderId="1" xfId="0" applyFont="1" applyBorder="1" applyAlignment="1">
      <x:alignment horizontal="center" vertical="top" wrapText="0"/>
    </x:xf>
    <x:xf numFmtId="164" fontId="7" fillId="0" borderId="0" xfId="0" applyFont="1" applyBorder="0" applyAlignment="0">
      <x:alignment horizontal="general" vertical="bottom" wrapText="0"/>
    </x:xf>
    <x:xf numFmtId="164" fontId="8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4" fillId="2" borderId="1" xfId="0" applyFont="1" applyBorder="1" applyAlignment="1">
      <x:alignment horizontal="center" vertical="bottom" wrapText="0"/>
    </x:xf>
    <x:xf numFmtId="166" fontId="5" fillId="0" borderId="1" xfId="0" applyFont="1" applyBorder="1" applyAlignment="0">
      <x:alignment horizontal="general" vertical="bottom" wrapText="0"/>
    </x:xf>
    <x:xf numFmtId="167" fontId="5" fillId="0" borderId="1" xfId="0" applyFont="1" applyBorder="1" applyAlignment="0">
      <x:alignment horizontal="general" vertical="bottom" wrapText="0"/>
    </x:xf>
    <x:xf numFmtId="165" fontId="5" fillId="0" borderId="1" xfId="0" applyFont="1" applyBorder="1" applyAlignment="0">
      <x:alignment horizontal="general" vertical="bottom" wrapText="0"/>
    </x:xf>
    <x:xf numFmtId="164" fontId="4" fillId="5" borderId="1" xfId="0" applyFont="1" applyBorder="1" applyAlignment="1">
      <x:alignment horizontal="center" vertical="bottom" wrapText="0"/>
    </x:xf>
    <x:xf numFmtId="164" fontId="4" fillId="7" borderId="1" xfId="0" applyFont="1" applyBorder="1" applyAlignment="1">
      <x:alignment horizontal="center" vertical="bottom" wrapText="0"/>
    </x:xf>
    <x:xf numFmtId="164" fontId="4" fillId="9" borderId="1" xfId="0" applyFont="1" applyBorder="1" applyAlignment="1">
      <x:alignment horizontal="center" vertical="bottom" wrapText="0"/>
    </x:xf>
    <x:xf numFmtId="164" fontId="6" fillId="11" borderId="1" xfId="0" applyFont="1" applyBorder="1" applyAlignment="1">
      <x:alignment horizontal="center" vertical="bottom" wrapText="0"/>
    </x:xf>
    <x:xf numFmtId="164" fontId="6" fillId="13" borderId="1" xfId="0" applyFont="1" applyBorder="1" applyAlignment="1">
      <x:alignment horizontal="center" vertical="bottom" wrapText="0"/>
    </x:xf>
    <x:xf numFmtId="164" fontId="4" fillId="15" borderId="1" xfId="0" applyFont="1" applyBorder="1" applyAlignment="1">
      <x:alignment horizontal="center" vertical="bottom" wrapText="0"/>
    </x:xf>
    <x:xf numFmtId="164" fontId="4" fillId="3" borderId="1" xfId="0" applyFont="1" applyBorder="1" applyAlignment="1">
      <x:alignment horizontal="center" vertical="bottom" wrapText="0"/>
    </x:xf>
    <x:xf numFmtId="164" fontId="6" fillId="18" borderId="1" xfId="0" applyFont="1" applyBorder="1" applyAlignment="0">
      <x:alignment horizontal="general" vertical="bottom" wrapText="0"/>
    </x:xf>
    <x:xf numFmtId="167" fontId="6" fillId="18" borderId="1" xfId="0" applyFont="1" applyBorder="1" applyAlignment="0">
      <x:alignment horizontal="general" vertical="bottom" wrapText="0"/>
    </x:xf>
    <x:xf numFmtId="165" fontId="6" fillId="18" borderId="1" xfId="0" applyFont="1" applyBorder="1" applyAlignment="0">
      <x:alignment horizontal="general" vertical="bottom" wrapText="0"/>
    </x:xf>
    <x:xf numFmtId="164" fontId="4" fillId="3" borderId="1" xfId="0" applyFont="1" applyBorder="1" applyAlignment="0">
      <x:alignment horizontal="general" vertical="bottom" wrapText="0"/>
    </x:xf>
    <x:xf numFmtId="164" fontId="4" fillId="2" borderId="1" xfId="0" applyFont="1" applyBorder="1" applyAlignment="0">
      <x:alignment horizontal="general" vertical="bottom" wrapText="0"/>
    </x:xf>
    <x:xf numFmtId="164" fontId="0" fillId="0" borderId="1" xfId="0" applyFont="0" applyBorder="1" applyAlignment="0">
      <x:alignment horizontal="general" vertical="bottom" wrapText="0"/>
    </x:xf>
    <x:xf numFmtId="165" fontId="6" fillId="18" borderId="0" xfId="0" applyFont="1" applyBorder="0" applyAlignment="0">
      <x:alignment horizontal="general" vertical="bottom" wrapText="0"/>
    </x:xf>
    <x:xf numFmtId="164" fontId="8" fillId="0" borderId="0" xfId="0" applyFont="1" applyBorder="1" applyAlignment="1">
      <x:alignment horizontal="general" vertical="top" wrapText="1"/>
    </x:xf>
    <x:xf numFmtId="164" fontId="7" fillId="18" borderId="0" xfId="0" applyFont="1" applyBorder="0" applyAlignment="0">
      <x:alignment horizontal="general" vertical="bottom" wrapText="0"/>
    </x:xf>
    <x:xf numFmtId="164" fontId="6" fillId="18" borderId="0" xfId="0" applyFont="1" applyBorder="0" applyAlignment="1">
      <x:alignment horizontal="general" vertical="top" wrapText="1"/>
    </x:xf>
    <x:xf numFmtId="164" fontId="5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1">
      <x:alignment horizontal="general" vertical="top" wrapText="1"/>
    </x:xf>
    <x:xf numFmtId="164" fontId="6" fillId="18" borderId="0" xfId="0" applyFont="1" applyBorder="0" applyAlignment="0">
      <x:alignment horizontal="general" vertical="bottom" wrapText="0"/>
    </x:xf>
    <x:xf numFmtId="164" fontId="4" fillId="2" borderId="0" xfId="0" applyFont="1" applyBorder="0" applyAlignment="1">
      <x:alignment horizontal="center" vertical="bottom" wrapText="0"/>
    </x:xf>
    <x:xf numFmtId="164" fontId="4" fillId="5" borderId="0" xfId="0" applyFont="1" applyBorder="0" applyAlignment="1">
      <x:alignment horizontal="center" vertical="bottom" wrapText="0"/>
    </x:xf>
    <x:xf numFmtId="164" fontId="4" fillId="7" borderId="0" xfId="0" applyFont="1" applyBorder="0" applyAlignment="1">
      <x:alignment horizontal="center" vertical="bottom" wrapText="0"/>
    </x:xf>
    <x:xf numFmtId="164" fontId="4" fillId="9" borderId="0" xfId="0" applyFont="1" applyBorder="0" applyAlignment="1">
      <x:alignment horizontal="center" vertical="bottom" wrapText="0"/>
    </x:xf>
    <x:xf numFmtId="164" fontId="6" fillId="11" borderId="0" xfId="0" applyFont="1" applyBorder="0" applyAlignment="1">
      <x:alignment horizontal="center" vertical="bottom" wrapText="0"/>
    </x:xf>
    <x:xf numFmtId="164" fontId="6" fillId="13" borderId="0" xfId="0" applyFont="1" applyBorder="0" applyAlignment="1">
      <x:alignment horizontal="center" vertical="bottom" wrapText="0"/>
    </x:xf>
    <x:xf numFmtId="164" fontId="4" fillId="15" borderId="0" xfId="0" applyFont="1" applyBorder="0" applyAlignment="1">
      <x:alignment horizontal="center" vertical="bottom" wrapText="0"/>
    </x:xf>
    <x:xf numFmtId="164" fontId="4" fillId="3" borderId="0" xfId="0" applyFont="1" applyBorder="0" applyAlignment="1">
      <x:alignment horizontal="center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5">
    <x:dxf>
      <x:fill>
        <x:patternFill>
          <x:bgColor rgb="FF264653"/>
        </x:patternFill>
      </x:fill>
    </x:dxf>
    <x:dxf>
      <x:fill>
        <x:patternFill>
          <x:bgColor rgb="FF287271"/>
        </x:patternFill>
      </x:fill>
    </x:dxf>
    <x:dxf>
      <x:fill>
        <x:patternFill>
          <x:bgColor rgb="FF2A9D8F"/>
        </x:patternFill>
      </x:fill>
    </x:dxf>
    <x:dxf>
      <x:fill>
        <x:patternFill>
          <x:bgColor rgb="FF8AB17D"/>
        </x:patternFill>
      </x:fill>
    </x:dxf>
    <x:dxf>
      <x:fill>
        <x:patternFill>
          <x:bgColor rgb="FFE76F51"/>
        </x:patternFill>
      </x:fill>
    </x:dxf>
    <x:dxf>
      <x:fill>
        <x:patternFill>
          <x:bgColor rgb="FFE9C46A"/>
        </x:patternFill>
      </x:fill>
    </x:dxf>
    <x:dxf>
      <x:fill>
        <x:patternFill>
          <x:bgColor rgb="FFEE8959"/>
        </x:patternFill>
      </x:fill>
    </x:dxf>
    <x:dxf>
      <x:fill>
        <x:patternFill>
          <x:bgColor rgb="FFF4A261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CFD6D9"/>
        </x:patternFill>
      </x:fill>
    </x:dxf>
    <x:dxf>
      <x:fill>
        <x:patternFill>
          <x:bgColor rgb="FFD0E0E0"/>
        </x:patternFill>
      </x:fill>
    </x:dxf>
    <x:dxf>
      <x:fill>
        <x:patternFill>
          <x:bgColor rgb="FFD0E9E6"/>
        </x:patternFill>
      </x:fill>
    </x:dxf>
    <x:dxf>
      <x:fill>
        <x:patternFill>
          <x:bgColor rgb="FFE5EEE2"/>
        </x:patternFill>
      </x:fill>
    </x:dxf>
    <x:dxf>
      <x:fill>
        <x:patternFill>
          <x:bgColor rgb="FFFADFD9"/>
        </x:patternFill>
      </x:fill>
    </x:dxf>
    <x:dxf>
      <x:fill>
        <x:patternFill>
          <x:bgColor rgb="FFFAF2DE"/>
        </x:patternFill>
      </x:fill>
    </x:dxf>
    <x:dxf>
      <x:fill>
        <x:patternFill>
          <x:bgColor rgb="FFFBE5DA"/>
        </x:patternFill>
      </x:fill>
    </x:dxf>
    <x:dxf>
      <x:fill>
        <x:patternFill>
          <x:bgColor rgb="FFFDEBDC"/>
        </x:patternFill>
      </x:fill>
    </x:dxf>
    <x:dxf>
      <x:fill>
        <x:patternFill>
          <x:bgColor rgb="FF92A2A9"/>
        </x:patternFill>
      </x:fill>
    </x:dxf>
    <x:dxf>
      <x:fill>
        <x:patternFill>
          <x:bgColor rgb="FFC1462F"/>
        </x:patternFill>
      </x:fill>
    </x:dxf>
    <x:dxf>
      <x:font>
        <x:b/>
        <x:sz val="10"/>
        <x:color rgb="FF3F6B33"/>
        <x:name val="Arial"/>
      </x:font>
      <x:fill>
        <x:patternFill>
          <x:bgColor rgb="FFD6E4D2"/>
        </x:patternFill>
      </x:fill>
    </x:dxf>
    <x:dxf>
      <x:font>
        <x:b/>
        <x:sz val="10"/>
        <x:color rgb="FF8A6A16"/>
        <x:name val="Arial"/>
      </x:font>
      <x:fill>
        <x:patternFill>
          <x:bgColor rgb="FFF6E7C3"/>
        </x:patternFill>
      </x:fill>
    </x:dxf>
    <x:dxf>
      <x:font>
        <x:b/>
        <x:sz val="10"/>
        <x:color rgb="FFB0452C"/>
        <x:name val="Arial"/>
      </x:font>
      <x:fill>
        <x:patternFill>
          <x:bgColor rgb="FFF7D1C7"/>
        </x:patternFill>
      </x:fill>
    </x:dxf>
    <x:dxf>
      <x:font>
        <x:b/>
        <x:sz val="10"/>
        <x:color rgb="FFC1462F"/>
        <x:name val="Arial"/>
      </x:font>
    </x:dxf>
    <x:dxf>
      <x:font>
        <x:sz val="10"/>
        <x:color rgb="FF92A2A9"/>
        <x:name val="Arial"/>
      </x:font>
    </x:dxf>
    <x:dxf>
      <x:font>
        <x:b/>
        <x:sz val="10"/>
        <x:color rgb="FF287271"/>
        <x:name val="Arial"/>
      </x:font>
    </x:dxf>
  </x:dxfs>
  <x:colors>
    <x:indexedColors>
      <x:rgbColor rgb="FF000000"/>
      <x:rgbColor rgb="FFFFFFFF"/>
      <x:rgbColor rgb="FFFF0000"/>
      <x:rgbColor rgb="FF00FF00"/>
      <x:rgbColor rgb="FF0000FF"/>
      <x:rgbColor rgb="FFFDEBDC"/>
      <x:rgbColor rgb="FFFF00FF"/>
      <x:rgbColor rgb="FF00FFFF"/>
      <x:rgbColor rgb="FF800000"/>
      <x:rgbColor rgb="FF008000"/>
      <x:rgbColor rgb="FF000080"/>
      <x:rgbColor rgb="FF8A6A16"/>
      <x:rgbColor rgb="FF800080"/>
      <x:rgbColor rgb="FF287271"/>
      <x:rgbColor rgb="FF9DACB2"/>
      <x:rgbColor rgb="FF8AB17D"/>
      <x:rgbColor rgb="FF92A2A9"/>
      <x:rgbColor rgb="FFC1462F"/>
      <x:rgbColor rgb="FFFAF2DE"/>
      <x:rgbColor rgb="FFDDEFED"/>
      <x:rgbColor rgb="FF660066"/>
      <x:rgbColor rgb="FFEE8959"/>
      <x:rgbColor rgb="FF0066CC"/>
      <x:rgbColor rgb="FFCFD6D9"/>
      <x:rgbColor rgb="FF000080"/>
      <x:rgbColor rgb="FFFF00FF"/>
      <x:rgbColor rgb="FFFBE5DA"/>
      <x:rgbColor rgb="FF00FFFF"/>
      <x:rgbColor rgb="FF800080"/>
      <x:rgbColor rgb="FF800000"/>
      <x:rgbColor rgb="FF008080"/>
      <x:rgbColor rgb="FF0000FF"/>
      <x:rgbColor rgb="FF00CCFF"/>
      <x:rgbColor rgb="FFD0E9E6"/>
      <x:rgbColor rgb="FFE5EEE2"/>
      <x:rgbColor rgb="FFF6E7C3"/>
      <x:rgbColor rgb="FFD0E0E0"/>
      <x:rgbColor rgb="FFFADFD9"/>
      <x:rgbColor rgb="FFD6E4D2"/>
      <x:rgbColor rgb="FFF7D1C7"/>
      <x:rgbColor rgb="FF3366FF"/>
      <x:rgbColor rgb="FF33CCCC"/>
      <x:rgbColor rgb="FF99CC00"/>
      <x:rgbColor rgb="FFE9C46A"/>
      <x:rgbColor rgb="FFF4A261"/>
      <x:rgbColor rgb="FFE76F51"/>
      <x:rgbColor rgb="FF3F6B33"/>
      <x:rgbColor rgb="FF8899A0"/>
      <x:rgbColor rgb="FF003366"/>
      <x:rgbColor rgb="FF2A9D8F"/>
      <x:rgbColor rgb="FF003300"/>
      <x:rgbColor rgb="FF333300"/>
      <x:rgbColor rgb="FFB0452C"/>
      <x:rgbColor rgb="FF993366"/>
      <x:rgbColor rgb="FF333399"/>
      <x:rgbColor rgb="FF26465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e87beb145b4218" /><Relationship Type="http://schemas.openxmlformats.org/officeDocument/2006/relationships/theme" Target="/xl/theme/theme1.xml" Id="R5257c91835494b68" /><Relationship Type="http://schemas.openxmlformats.org/officeDocument/2006/relationships/sharedStrings" Target="/xl/sharedStrings.xml" Id="R4541e437bf444d5a" /><Relationship Type="http://schemas.openxmlformats.org/officeDocument/2006/relationships/worksheet" Target="/xl/worksheets/sheet1.xml" Id="R7127d11810654837" /><Relationship Type="http://schemas.openxmlformats.org/officeDocument/2006/relationships/worksheet" Target="/xl/worksheets/sheet2.xml" Id="R19458d1095af4dee" /><Relationship Type="http://schemas.openxmlformats.org/officeDocument/2006/relationships/worksheet" Target="/xl/worksheets/sheet3.xml" Id="R7f3fe120b61a4d62" /><Relationship Type="http://schemas.openxmlformats.org/officeDocument/2006/relationships/worksheet" Target="/xl/worksheets/sheet4.xml" Id="Rd19b5e42e453493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3" ySplit="1" topLeftCell="D2" activePane="bottomRight" state="frozen"/>
    </x:sheetView>
  </x:sheetViews>
  <x:sheetFormatPr defaultColWidth="8.6796875" defaultRowHeight="15"/>
  <x:cols>
    <x:col min="1" max="1" width="13" hidden="0" customWidth="1"/>
    <x:col min="2" max="2" width="5" hidden="0" customWidth="1"/>
    <x:col min="3" max="3" width="9" hidden="0" customWidth="1"/>
    <x:col min="4" max="4" width="15" hidden="0" customWidth="1"/>
    <x:col min="5" max="5" width="54" hidden="0" customWidth="1"/>
    <x:col min="6" max="7" width="14" hidden="0" customWidth="1"/>
    <x:col min="8" max="8" width="10" hidden="0" customWidth="1"/>
    <x:col min="9" max="9" width="9" hidden="0" customWidth="1"/>
    <x:col min="10" max="10" width="18" hidden="0" customWidth="1"/>
    <x:col min="11" max="11" width="10" hidden="0" customWidth="1"/>
    <x:col min="12" max="12" width="13" hidden="0" customWidth="1"/>
    <x:col min="13" max="13" width="54" hidden="0" customWidth="1"/>
    <x:col min="14" max="14" width="26" hidden="0" customWidth="1"/>
  </x:cols>
  <x:sheetData>
    <x:row r="1" ht="30" hidden="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2" t="s">
        <x:v>6</x:v>
      </x:c>
      <x:c r="H1" s="2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2" t="s">
        <x:v>13</x:v>
      </x:c>
    </x:row>
    <x:row r="2" ht="23.850000381469727" hidden="0">
      <x:c r="A2" s="3" t="s">
        <x:v>14</x:v>
      </x:c>
      <x:c r="B2" s="4" t="n">
        <x:v>1</x:v>
      </x:c>
      <x:c r="C2" s="4" t="s">
        <x:v>15</x:v>
      </x:c>
      <x:c r="D2" s="5" t="s">
        <x:v>16</x:v>
      </x:c>
      <x:c r="E2" s="5" t="s">
        <x:v>17</x:v>
      </x:c>
      <x:c r="F2" s="4" t="s">
        <x:v>18</x:v>
      </x:c>
      <x:c r="G2" s="5"/>
      <x:c r="H2" s="4" t="s">
        <x:v>19</x:v>
      </x:c>
      <x:c r="I2" s="4" t="s">
        <x:v>20</x:v>
      </x:c>
      <x:c r="J2" s="5"/>
      <x:c r="K2" s="6" t="n">
        <x:v>1</x:v>
      </x:c>
      <x:c r="L2" s="4" t="s">
        <x:v>21</x:v>
      </x:c>
      <x:c r="M2" s="5" t="s">
        <x:v>22</x:v>
      </x:c>
      <x:c r="N2" s="5"/>
    </x:row>
    <x:row r="3" ht="15" hidden="0">
      <x:c r="A3" s="7" t="s">
        <x:v>23</x:v>
      </x:c>
      <x:c r="B3" s="8" t="n">
        <x:v>2</x:v>
      </x:c>
      <x:c r="C3" s="8" t="s">
        <x:v>24</x:v>
      </x:c>
      <x:c r="D3" s="9" t="s">
        <x:v>16</x:v>
      </x:c>
      <x:c r="E3" s="9" t="s">
        <x:v>25</x:v>
      </x:c>
      <x:c r="F3" s="8" t="s">
        <x:v>26</x:v>
      </x:c>
      <x:c r="G3" s="9"/>
      <x:c r="H3" s="8" t="s">
        <x:v>19</x:v>
      </x:c>
      <x:c r="I3" s="8" t="s">
        <x:v>20</x:v>
      </x:c>
      <x:c r="J3" s="9" t="s">
        <x:v>15</x:v>
      </x:c>
      <x:c r="K3" s="10" t="n">
        <x:v>1</x:v>
      </x:c>
      <x:c r="L3" s="8" t="s">
        <x:v>27</x:v>
      </x:c>
      <x:c r="M3" s="9" t="s">
        <x:v>28</x:v>
      </x:c>
      <x:c r="N3" s="9"/>
    </x:row>
    <x:row r="4" ht="23.850000381469727" hidden="0">
      <x:c r="A4" s="7" t="s">
        <x:v>29</x:v>
      </x:c>
      <x:c r="B4" s="8" t="n">
        <x:v>3</x:v>
      </x:c>
      <x:c r="C4" s="8" t="s">
        <x:v>30</x:v>
      </x:c>
      <x:c r="D4" s="9" t="s">
        <x:v>31</x:v>
      </x:c>
      <x:c r="E4" s="9" t="s">
        <x:v>32</x:v>
      </x:c>
      <x:c r="F4" s="8" t="s">
        <x:v>33</x:v>
      </x:c>
      <x:c r="G4" s="9"/>
      <x:c r="H4" s="8" t="s">
        <x:v>19</x:v>
      </x:c>
      <x:c r="I4" s="8" t="s">
        <x:v>20</x:v>
      </x:c>
      <x:c r="J4" s="9" t="s">
        <x:v>24</x:v>
      </x:c>
      <x:c r="K4" s="10" t="n">
        <x:v>1</x:v>
      </x:c>
      <x:c r="L4" s="8" t="s">
        <x:v>27</x:v>
      </x:c>
      <x:c r="M4" s="9" t="s">
        <x:v>34</x:v>
      </x:c>
      <x:c r="N4" s="9"/>
    </x:row>
    <x:row r="5" ht="23.850000381469727" hidden="0">
      <x:c r="A5" s="7" t="s">
        <x:v>29</x:v>
      </x:c>
      <x:c r="B5" s="8" t="n">
        <x:v>3</x:v>
      </x:c>
      <x:c r="C5" s="8" t="s">
        <x:v>35</x:v>
      </x:c>
      <x:c r="D5" s="9" t="s">
        <x:v>16</x:v>
      </x:c>
      <x:c r="E5" s="9" t="s">
        <x:v>36</x:v>
      </x:c>
      <x:c r="F5" s="8" t="s">
        <x:v>26</x:v>
      </x:c>
      <x:c r="G5" s="9"/>
      <x:c r="H5" s="8" t="s">
        <x:v>19</x:v>
      </x:c>
      <x:c r="I5" s="8" t="s">
        <x:v>20</x:v>
      </x:c>
      <x:c r="J5" s="9" t="s">
        <x:v>24</x:v>
      </x:c>
      <x:c r="K5" s="10" t="n">
        <x:v>1</x:v>
      </x:c>
      <x:c r="L5" s="8" t="s">
        <x:v>27</x:v>
      </x:c>
      <x:c r="M5" s="9" t="s">
        <x:v>37</x:v>
      </x:c>
      <x:c r="N5" s="9"/>
    </x:row>
    <x:row r="6" ht="23.850000381469727" hidden="0">
      <x:c r="A6" s="7" t="s">
        <x:v>29</x:v>
      </x:c>
      <x:c r="B6" s="8" t="n">
        <x:v>3</x:v>
      </x:c>
      <x:c r="C6" s="8" t="s">
        <x:v>38</x:v>
      </x:c>
      <x:c r="D6" s="9" t="s">
        <x:v>16</x:v>
      </x:c>
      <x:c r="E6" s="9" t="s">
        <x:v>39</x:v>
      </x:c>
      <x:c r="F6" s="8" t="s">
        <x:v>40</x:v>
      </x:c>
      <x:c r="G6" s="9"/>
      <x:c r="H6" s="8" t="s">
        <x:v>19</x:v>
      </x:c>
      <x:c r="I6" s="8" t="s">
        <x:v>20</x:v>
      </x:c>
      <x:c r="J6" s="9" t="s">
        <x:v>24</x:v>
      </x:c>
      <x:c r="K6" s="10" t="n">
        <x:v>1</x:v>
      </x:c>
      <x:c r="L6" s="8" t="s">
        <x:v>27</x:v>
      </x:c>
      <x:c r="M6" s="9" t="s">
        <x:v>41</x:v>
      </x:c>
      <x:c r="N6" s="9"/>
    </x:row>
    <x:row r="7" ht="23.850000381469727" hidden="0">
      <x:c r="A7" s="7" t="s">
        <x:v>29</x:v>
      </x:c>
      <x:c r="B7" s="8" t="n">
        <x:v>3</x:v>
      </x:c>
      <x:c r="C7" s="8" t="s">
        <x:v>42</x:v>
      </x:c>
      <x:c r="D7" s="9" t="s">
        <x:v>16</x:v>
      </x:c>
      <x:c r="E7" s="9" t="s">
        <x:v>43</x:v>
      </x:c>
      <x:c r="F7" s="8" t="s">
        <x:v>44</x:v>
      </x:c>
      <x:c r="G7" s="9"/>
      <x:c r="H7" s="8" t="s">
        <x:v>19</x:v>
      </x:c>
      <x:c r="I7" s="8" t="s">
        <x:v>20</x:v>
      </x:c>
      <x:c r="J7" s="9" t="s">
        <x:v>38</x:v>
      </x:c>
      <x:c r="K7" s="10" t="n">
        <x:v>0.5</x:v>
      </x:c>
      <x:c r="L7" s="8" t="s">
        <x:v>21</x:v>
      </x:c>
      <x:c r="M7" s="9" t="s">
        <x:v>45</x:v>
      </x:c>
      <x:c r="N7" s="9"/>
    </x:row>
    <x:row r="8" ht="23.850000381469727" hidden="0">
      <x:c r="A8" s="7" t="s">
        <x:v>29</x:v>
      </x:c>
      <x:c r="B8" s="8" t="n">
        <x:v>3</x:v>
      </x:c>
      <x:c r="C8" s="8" t="s">
        <x:v>46</x:v>
      </x:c>
      <x:c r="D8" s="9" t="s">
        <x:v>16</x:v>
      </x:c>
      <x:c r="E8" s="9" t="s">
        <x:v>47</x:v>
      </x:c>
      <x:c r="F8" s="8" t="s">
        <x:v>48</x:v>
      </x:c>
      <x:c r="G8" s="9"/>
      <x:c r="H8" s="8" t="s">
        <x:v>19</x:v>
      </x:c>
      <x:c r="I8" s="8" t="s">
        <x:v>20</x:v>
      </x:c>
      <x:c r="J8" s="9" t="s">
        <x:v>38</x:v>
      </x:c>
      <x:c r="K8" s="10" t="n">
        <x:v>1</x:v>
      </x:c>
      <x:c r="L8" s="8" t="s">
        <x:v>27</x:v>
      </x:c>
      <x:c r="M8" s="9" t="s">
        <x:v>49</x:v>
      </x:c>
      <x:c r="N8" s="9"/>
    </x:row>
    <x:row r="9" ht="23.850000381469727" hidden="0">
      <x:c r="A9" s="7" t="s">
        <x:v>29</x:v>
      </x:c>
      <x:c r="B9" s="8" t="n">
        <x:v>3</x:v>
      </x:c>
      <x:c r="C9" s="8" t="s">
        <x:v>50</x:v>
      </x:c>
      <x:c r="D9" s="9" t="s">
        <x:v>51</x:v>
      </x:c>
      <x:c r="E9" s="9" t="s">
        <x:v>52</x:v>
      </x:c>
      <x:c r="F9" s="8" t="s">
        <x:v>53</x:v>
      </x:c>
      <x:c r="G9" s="9"/>
      <x:c r="H9" s="8" t="s">
        <x:v>19</x:v>
      </x:c>
      <x:c r="I9" s="8" t="s">
        <x:v>20</x:v>
      </x:c>
      <x:c r="J9" s="9" t="s">
        <x:v>54</x:v>
      </x:c>
      <x:c r="K9" s="10" t="n">
        <x:v>1</x:v>
      </x:c>
      <x:c r="L9" s="8" t="s">
        <x:v>27</x:v>
      </x:c>
      <x:c r="M9" s="9" t="s">
        <x:v>55</x:v>
      </x:c>
      <x:c r="N9" s="9"/>
    </x:row>
    <x:row r="10" ht="15" hidden="0">
      <x:c r="A10" s="7" t="s">
        <x:v>29</x:v>
      </x:c>
      <x:c r="B10" s="8" t="n">
        <x:v>3</x:v>
      </x:c>
      <x:c r="C10" s="8" t="s">
        <x:v>56</x:v>
      </x:c>
      <x:c r="D10" s="9" t="s">
        <x:v>16</x:v>
      </x:c>
      <x:c r="E10" s="9" t="s">
        <x:v>57</x:v>
      </x:c>
      <x:c r="F10" s="8" t="s">
        <x:v>58</x:v>
      </x:c>
      <x:c r="G10" s="9"/>
      <x:c r="H10" s="8" t="s">
        <x:v>19</x:v>
      </x:c>
      <x:c r="I10" s="8" t="s">
        <x:v>20</x:v>
      </x:c>
      <x:c r="J10" s="9" t="s">
        <x:v>24</x:v>
      </x:c>
      <x:c r="K10" s="10" t="n">
        <x:v>0.5</x:v>
      </x:c>
      <x:c r="L10" s="8" t="s">
        <x:v>27</x:v>
      </x:c>
      <x:c r="M10" s="9" t="s">
        <x:v>59</x:v>
      </x:c>
      <x:c r="N10" s="9"/>
    </x:row>
    <x:row r="11" ht="23.850000381469727" hidden="0">
      <x:c r="A11" s="11" t="s">
        <x:v>29</x:v>
      </x:c>
      <x:c r="B11" s="12" t="n">
        <x:v>3</x:v>
      </x:c>
      <x:c r="C11" s="12" t="s">
        <x:v>60</x:v>
      </x:c>
      <x:c r="D11" s="13" t="s">
        <x:v>16</x:v>
      </x:c>
      <x:c r="E11" s="13" t="s">
        <x:v>61</x:v>
      </x:c>
      <x:c r="F11" s="12" t="s">
        <x:v>62</x:v>
      </x:c>
      <x:c r="G11" s="13"/>
      <x:c r="H11" s="12" t="s">
        <x:v>19</x:v>
      </x:c>
      <x:c r="I11" s="12" t="s">
        <x:v>63</x:v>
      </x:c>
      <x:c r="J11" s="13" t="s">
        <x:v>24</x:v>
      </x:c>
      <x:c r="K11" s="14" t="n">
        <x:v>0.5</x:v>
      </x:c>
      <x:c r="L11" s="12" t="s">
        <x:v>27</x:v>
      </x:c>
      <x:c r="M11" s="13" t="s">
        <x:v>64</x:v>
      </x:c>
      <x:c r="N11" s="13"/>
    </x:row>
    <x:row r="12" ht="15" hidden="0">
      <x:c r="A12" s="15" t="s">
        <x:v>29</x:v>
      </x:c>
      <x:c r="B12" s="16" t="n">
        <x:v>3</x:v>
      </x:c>
      <x:c r="C12" s="16" t="s">
        <x:v>65</x:v>
      </x:c>
      <x:c r="D12" s="17" t="s">
        <x:v>51</x:v>
      </x:c>
      <x:c r="E12" s="17" t="s">
        <x:v>66</x:v>
      </x:c>
      <x:c r="F12" s="16" t="s">
        <x:v>67</x:v>
      </x:c>
      <x:c r="G12" s="17"/>
      <x:c r="H12" s="16" t="s">
        <x:v>19</x:v>
      </x:c>
      <x:c r="I12" s="16" t="s">
        <x:v>20</x:v>
      </x:c>
      <x:c r="J12" s="17" t="s">
        <x:v>68</x:v>
      </x:c>
      <x:c r="K12" s="18" t="n">
        <x:v>1</x:v>
      </x:c>
      <x:c r="L12" s="16" t="s">
        <x:v>27</x:v>
      </x:c>
      <x:c r="M12" s="17" t="s">
        <x:v>69</x:v>
      </x:c>
      <x:c r="N12" s="17"/>
    </x:row>
    <x:row r="13" ht="15" hidden="0">
      <x:c r="A13" s="15" t="s">
        <x:v>29</x:v>
      </x:c>
      <x:c r="B13" s="16" t="n">
        <x:v>3</x:v>
      </x:c>
      <x:c r="C13" s="16" t="s">
        <x:v>70</x:v>
      </x:c>
      <x:c r="D13" s="17" t="s">
        <x:v>51</x:v>
      </x:c>
      <x:c r="E13" s="17" t="s">
        <x:v>71</x:v>
      </x:c>
      <x:c r="F13" s="16" t="s">
        <x:v>72</x:v>
      </x:c>
      <x:c r="G13" s="17"/>
      <x:c r="H13" s="16" t="s">
        <x:v>19</x:v>
      </x:c>
      <x:c r="I13" s="16" t="s">
        <x:v>20</x:v>
      </x:c>
      <x:c r="J13" s="17" t="s">
        <x:v>73</x:v>
      </x:c>
      <x:c r="K13" s="18" t="n">
        <x:v>1</x:v>
      </x:c>
      <x:c r="L13" s="16" t="s">
        <x:v>21</x:v>
      </x:c>
      <x:c r="M13" s="17" t="s">
        <x:v>74</x:v>
      </x:c>
      <x:c r="N13" s="17"/>
    </x:row>
    <x:row r="14" ht="23.850000381469727" hidden="0">
      <x:c r="A14" s="15" t="s">
        <x:v>29</x:v>
      </x:c>
      <x:c r="B14" s="16" t="n">
        <x:v>3</x:v>
      </x:c>
      <x:c r="C14" s="16" t="s">
        <x:v>75</x:v>
      </x:c>
      <x:c r="D14" s="17" t="s">
        <x:v>16</x:v>
      </x:c>
      <x:c r="E14" s="17" t="s">
        <x:v>76</x:v>
      </x:c>
      <x:c r="F14" s="16" t="s">
        <x:v>77</x:v>
      </x:c>
      <x:c r="G14" s="17"/>
      <x:c r="H14" s="16" t="s">
        <x:v>19</x:v>
      </x:c>
      <x:c r="I14" s="16" t="s">
        <x:v>78</x:v>
      </x:c>
      <x:c r="J14" s="17" t="s">
        <x:v>24</x:v>
      </x:c>
      <x:c r="K14" s="18" t="n">
        <x:v>0.5</x:v>
      </x:c>
      <x:c r="L14" s="16" t="s">
        <x:v>27</x:v>
      </x:c>
      <x:c r="M14" s="17" t="s">
        <x:v>79</x:v>
      </x:c>
      <x:c r="N14" s="17"/>
    </x:row>
    <x:row r="15" ht="15" hidden="0">
      <x:c r="A15" s="15" t="s">
        <x:v>29</x:v>
      </x:c>
      <x:c r="B15" s="16" t="n">
        <x:v>3</x:v>
      </x:c>
      <x:c r="C15" s="16" t="s">
        <x:v>80</x:v>
      </x:c>
      <x:c r="D15" s="17" t="s">
        <x:v>16</x:v>
      </x:c>
      <x:c r="E15" s="17" t="s">
        <x:v>81</x:v>
      </x:c>
      <x:c r="F15" s="16" t="s">
        <x:v>82</x:v>
      </x:c>
      <x:c r="G15" s="17"/>
      <x:c r="H15" s="16" t="s">
        <x:v>19</x:v>
      </x:c>
      <x:c r="I15" s="16" t="s">
        <x:v>78</x:v>
      </x:c>
      <x:c r="J15" s="17" t="s">
        <x:v>24</x:v>
      </x:c>
      <x:c r="K15" s="18" t="n">
        <x:v>0.5</x:v>
      </x:c>
      <x:c r="L15" s="16" t="s">
        <x:v>27</x:v>
      </x:c>
      <x:c r="M15" s="17" t="s">
        <x:v>83</x:v>
      </x:c>
      <x:c r="N15" s="17"/>
    </x:row>
    <x:row r="16" ht="15" hidden="0">
      <x:c r="A16" s="15" t="s">
        <x:v>29</x:v>
      </x:c>
      <x:c r="B16" s="16" t="n">
        <x:v>3</x:v>
      </x:c>
      <x:c r="C16" s="16" t="s">
        <x:v>84</x:v>
      </x:c>
      <x:c r="D16" s="17" t="s">
        <x:v>16</x:v>
      </x:c>
      <x:c r="E16" s="17" t="s">
        <x:v>85</x:v>
      </x:c>
      <x:c r="F16" s="16" t="s">
        <x:v>86</x:v>
      </x:c>
      <x:c r="G16" s="17"/>
      <x:c r="H16" s="16" t="s">
        <x:v>19</x:v>
      </x:c>
      <x:c r="I16" s="16" t="s">
        <x:v>78</x:v>
      </x:c>
      <x:c r="J16" s="17" t="s">
        <x:v>24</x:v>
      </x:c>
      <x:c r="K16" s="18" t="n">
        <x:v>0.5</x:v>
      </x:c>
      <x:c r="L16" s="16" t="s">
        <x:v>27</x:v>
      </x:c>
      <x:c r="M16" s="17" t="s">
        <x:v>87</x:v>
      </x:c>
      <x:c r="N16" s="17"/>
    </x:row>
    <x:row r="17" ht="15" hidden="0">
      <x:c r="A17" s="15" t="s">
        <x:v>14</x:v>
      </x:c>
      <x:c r="B17" s="16" t="n">
        <x:v>1</x:v>
      </x:c>
      <x:c r="C17" s="16" t="s">
        <x:v>88</x:v>
      </x:c>
      <x:c r="D17" s="17" t="s">
        <x:v>89</x:v>
      </x:c>
      <x:c r="E17" s="17" t="s">
        <x:v>90</x:v>
      </x:c>
      <x:c r="F17" s="16" t="s">
        <x:v>91</x:v>
      </x:c>
      <x:c r="G17" s="17"/>
      <x:c r="H17" s="16" t="s">
        <x:v>19</x:v>
      </x:c>
      <x:c r="I17" s="16" t="s">
        <x:v>20</x:v>
      </x:c>
      <x:c r="J17" s="17"/>
      <x:c r="K17" s="18" t="n">
        <x:v>1</x:v>
      </x:c>
      <x:c r="L17" s="16" t="s">
        <x:v>21</x:v>
      </x:c>
      <x:c r="M17" s="17" t="s">
        <x:v>92</x:v>
      </x:c>
      <x:c r="N17" s="17"/>
    </x:row>
    <x:row r="18" ht="15" hidden="0">
      <x:c r="A18" s="15" t="s">
        <x:v>14</x:v>
      </x:c>
      <x:c r="B18" s="16" t="n">
        <x:v>1</x:v>
      </x:c>
      <x:c r="C18" s="16" t="s">
        <x:v>93</x:v>
      </x:c>
      <x:c r="D18" s="17" t="s">
        <x:v>89</x:v>
      </x:c>
      <x:c r="E18" s="17" t="s">
        <x:v>94</x:v>
      </x:c>
      <x:c r="F18" s="16" t="s">
        <x:v>91</x:v>
      </x:c>
      <x:c r="G18" s="17"/>
      <x:c r="H18" s="16" t="s">
        <x:v>19</x:v>
      </x:c>
      <x:c r="I18" s="16" t="s">
        <x:v>20</x:v>
      </x:c>
      <x:c r="J18" s="17" t="s">
        <x:v>88</x:v>
      </x:c>
      <x:c r="K18" s="18" t="n">
        <x:v>1</x:v>
      </x:c>
      <x:c r="L18" s="16" t="s">
        <x:v>21</x:v>
      </x:c>
      <x:c r="M18" s="17" t="s">
        <x:v>95</x:v>
      </x:c>
      <x:c r="N18" s="17"/>
    </x:row>
    <x:row r="19" ht="15" hidden="0">
      <x:c r="A19" s="15" t="s">
        <x:v>14</x:v>
      </x:c>
      <x:c r="B19" s="16" t="n">
        <x:v>1</x:v>
      </x:c>
      <x:c r="C19" s="16" t="s">
        <x:v>96</x:v>
      </x:c>
      <x:c r="D19" s="17" t="s">
        <x:v>89</x:v>
      </x:c>
      <x:c r="E19" s="17" t="s">
        <x:v>97</x:v>
      </x:c>
      <x:c r="F19" s="16" t="s">
        <x:v>98</x:v>
      </x:c>
      <x:c r="G19" s="17"/>
      <x:c r="H19" s="16" t="s">
        <x:v>19</x:v>
      </x:c>
      <x:c r="I19" s="16" t="s">
        <x:v>20</x:v>
      </x:c>
      <x:c r="J19" s="17" t="s">
        <x:v>93</x:v>
      </x:c>
      <x:c r="K19" s="18" t="n">
        <x:v>0.5</x:v>
      </x:c>
      <x:c r="L19" s="16" t="s">
        <x:v>27</x:v>
      </x:c>
      <x:c r="M19" s="17" t="s">
        <x:v>99</x:v>
      </x:c>
      <x:c r="N19" s="17"/>
    </x:row>
    <x:row r="20" ht="15" hidden="0">
      <x:c r="A20" s="15" t="s">
        <x:v>14</x:v>
      </x:c>
      <x:c r="B20" s="16" t="n">
        <x:v>1</x:v>
      </x:c>
      <x:c r="C20" s="16" t="s">
        <x:v>100</x:v>
      </x:c>
      <x:c r="D20" s="17" t="s">
        <x:v>101</x:v>
      </x:c>
      <x:c r="E20" s="17" t="s">
        <x:v>102</x:v>
      </x:c>
      <x:c r="F20" s="16" t="s">
        <x:v>98</x:v>
      </x:c>
      <x:c r="G20" s="17"/>
      <x:c r="H20" s="16" t="s">
        <x:v>19</x:v>
      </x:c>
      <x:c r="I20" s="16" t="s">
        <x:v>20</x:v>
      </x:c>
      <x:c r="J20" s="17"/>
      <x:c r="K20" s="18" t="n">
        <x:v>0.5</x:v>
      </x:c>
      <x:c r="L20" s="16" t="s">
        <x:v>21</x:v>
      </x:c>
      <x:c r="M20" s="17" t="s">
        <x:v>103</x:v>
      </x:c>
      <x:c r="N20" s="17"/>
    </x:row>
    <x:row r="21" ht="23.850000381469727" hidden="0">
      <x:c r="A21" s="19" t="s">
        <x:v>29</x:v>
      </x:c>
      <x:c r="B21" s="20" t="n">
        <x:v>3</x:v>
      </x:c>
      <x:c r="C21" s="20" t="s">
        <x:v>104</x:v>
      </x:c>
      <x:c r="D21" s="21" t="s">
        <x:v>101</x:v>
      </x:c>
      <x:c r="E21" s="21" t="s">
        <x:v>105</x:v>
      </x:c>
      <x:c r="F21" s="20" t="s">
        <x:v>106</x:v>
      </x:c>
      <x:c r="G21" s="21"/>
      <x:c r="H21" s="20" t="s">
        <x:v>19</x:v>
      </x:c>
      <x:c r="I21" s="20" t="s">
        <x:v>20</x:v>
      </x:c>
      <x:c r="J21" s="21" t="s">
        <x:v>107</x:v>
      </x:c>
      <x:c r="K21" s="22" t="n">
        <x:v>1</x:v>
      </x:c>
      <x:c r="L21" s="20" t="s">
        <x:v>27</x:v>
      </x:c>
      <x:c r="M21" s="21" t="s">
        <x:v>108</x:v>
      </x:c>
      <x:c r="N21" s="21"/>
    </x:row>
    <x:row r="22" ht="23.850000381469727" hidden="0">
      <x:c r="A22" s="23" t="s">
        <x:v>29</x:v>
      </x:c>
      <x:c r="B22" s="24" t="n">
        <x:v>3</x:v>
      </x:c>
      <x:c r="C22" s="24" t="s">
        <x:v>109</x:v>
      </x:c>
      <x:c r="D22" s="25" t="s">
        <x:v>101</x:v>
      </x:c>
      <x:c r="E22" s="25" t="s">
        <x:v>110</x:v>
      </x:c>
      <x:c r="F22" s="24" t="s">
        <x:v>106</x:v>
      </x:c>
      <x:c r="G22" s="25"/>
      <x:c r="H22" s="24" t="s">
        <x:v>19</x:v>
      </x:c>
      <x:c r="I22" s="24" t="s">
        <x:v>78</x:v>
      </x:c>
      <x:c r="J22" s="25" t="s">
        <x:v>104</x:v>
      </x:c>
      <x:c r="K22" s="26" t="n">
        <x:v>0.5</x:v>
      </x:c>
      <x:c r="L22" s="24" t="s">
        <x:v>21</x:v>
      </x:c>
      <x:c r="M22" s="25" t="s">
        <x:v>111</x:v>
      </x:c>
      <x:c r="N22" s="25"/>
    </x:row>
    <x:row r="23" ht="23.850000381469727" hidden="0">
      <x:c r="A23" s="23" t="s">
        <x:v>29</x:v>
      </x:c>
      <x:c r="B23" s="24" t="n">
        <x:v>3</x:v>
      </x:c>
      <x:c r="C23" s="24" t="s">
        <x:v>112</x:v>
      </x:c>
      <x:c r="D23" s="25" t="s">
        <x:v>89</x:v>
      </x:c>
      <x:c r="E23" s="25" t="s">
        <x:v>113</x:v>
      </x:c>
      <x:c r="F23" s="24" t="s">
        <x:v>91</x:v>
      </x:c>
      <x:c r="G23" s="25"/>
      <x:c r="H23" s="24" t="s">
        <x:v>19</x:v>
      </x:c>
      <x:c r="I23" s="24" t="s">
        <x:v>78</x:v>
      </x:c>
      <x:c r="J23" s="25" t="s">
        <x:v>114</x:v>
      </x:c>
      <x:c r="K23" s="26" t="n">
        <x:v>0.5</x:v>
      </x:c>
      <x:c r="L23" s="24" t="s">
        <x:v>21</x:v>
      </x:c>
      <x:c r="M23" s="25" t="s">
        <x:v>115</x:v>
      </x:c>
      <x:c r="N23" s="25"/>
    </x:row>
    <x:row r="24" ht="15" hidden="0">
      <x:c r="A24" s="23" t="s">
        <x:v>14</x:v>
      </x:c>
      <x:c r="B24" s="24" t="n">
        <x:v>1</x:v>
      </x:c>
      <x:c r="C24" s="24" t="s">
        <x:v>116</x:v>
      </x:c>
      <x:c r="D24" s="25" t="s">
        <x:v>89</x:v>
      </x:c>
      <x:c r="E24" s="25" t="s">
        <x:v>117</x:v>
      </x:c>
      <x:c r="F24" s="24" t="s">
        <x:v>118</x:v>
      </x:c>
      <x:c r="G24" s="25"/>
      <x:c r="H24" s="24" t="s">
        <x:v>19</x:v>
      </x:c>
      <x:c r="I24" s="24" t="s">
        <x:v>78</x:v>
      </x:c>
      <x:c r="J24" s="25"/>
      <x:c r="K24" s="26" t="n">
        <x:v>0.25</x:v>
      </x:c>
      <x:c r="L24" s="24" t="s">
        <x:v>21</x:v>
      </x:c>
      <x:c r="M24" s="25" t="s">
        <x:v>119</x:v>
      </x:c>
      <x:c r="N24" s="25"/>
    </x:row>
    <x:row r="25" ht="23.850000381469727" hidden="0">
      <x:c r="A25" s="23" t="s">
        <x:v>23</x:v>
      </x:c>
      <x:c r="B25" s="24" t="n">
        <x:v>2</x:v>
      </x:c>
      <x:c r="C25" s="24" t="s">
        <x:v>120</x:v>
      </x:c>
      <x:c r="D25" s="25" t="s">
        <x:v>89</x:v>
      </x:c>
      <x:c r="E25" s="25" t="s">
        <x:v>121</x:v>
      </x:c>
      <x:c r="F25" s="24" t="s">
        <x:v>118</x:v>
      </x:c>
      <x:c r="G25" s="25"/>
      <x:c r="H25" s="24" t="s">
        <x:v>19</x:v>
      </x:c>
      <x:c r="I25" s="24" t="s">
        <x:v>78</x:v>
      </x:c>
      <x:c r="J25" s="25" t="s">
        <x:v>122</x:v>
      </x:c>
      <x:c r="K25" s="26" t="n">
        <x:v>0.5</x:v>
      </x:c>
      <x:c r="L25" s="24" t="s">
        <x:v>21</x:v>
      </x:c>
      <x:c r="M25" s="25" t="s">
        <x:v>123</x:v>
      </x:c>
      <x:c r="N25" s="25"/>
    </x:row>
    <x:row r="26" ht="15" hidden="0">
      <x:c r="A26" s="23" t="s">
        <x:v>14</x:v>
      </x:c>
      <x:c r="B26" s="24" t="n">
        <x:v>1</x:v>
      </x:c>
      <x:c r="C26" s="24" t="s">
        <x:v>124</x:v>
      </x:c>
      <x:c r="D26" s="25" t="s">
        <x:v>125</x:v>
      </x:c>
      <x:c r="E26" s="25" t="s">
        <x:v>126</x:v>
      </x:c>
      <x:c r="F26" s="24" t="s">
        <x:v>127</x:v>
      </x:c>
      <x:c r="G26" s="25"/>
      <x:c r="H26" s="24" t="s">
        <x:v>19</x:v>
      </x:c>
      <x:c r="I26" s="24" t="s">
        <x:v>20</x:v>
      </x:c>
      <x:c r="J26" s="25"/>
      <x:c r="K26" s="26" t="n">
        <x:v>1</x:v>
      </x:c>
      <x:c r="L26" s="24" t="s">
        <x:v>21</x:v>
      </x:c>
      <x:c r="M26" s="25" t="s">
        <x:v>128</x:v>
      </x:c>
      <x:c r="N26" s="25"/>
    </x:row>
    <x:row r="27" ht="15" hidden="0">
      <x:c r="A27" s="23" t="s">
        <x:v>14</x:v>
      </x:c>
      <x:c r="B27" s="24" t="n">
        <x:v>1</x:v>
      </x:c>
      <x:c r="C27" s="24" t="s">
        <x:v>129</x:v>
      </x:c>
      <x:c r="D27" s="25" t="s">
        <x:v>51</x:v>
      </x:c>
      <x:c r="E27" s="25" t="s">
        <x:v>130</x:v>
      </x:c>
      <x:c r="F27" s="24" t="s">
        <x:v>131</x:v>
      </x:c>
      <x:c r="G27" s="25"/>
      <x:c r="H27" s="24" t="s">
        <x:v>19</x:v>
      </x:c>
      <x:c r="I27" s="24" t="s">
        <x:v>20</x:v>
      </x:c>
      <x:c r="J27" s="25"/>
      <x:c r="K27" s="26" t="n">
        <x:v>1</x:v>
      </x:c>
      <x:c r="L27" s="24" t="s">
        <x:v>21</x:v>
      </x:c>
      <x:c r="M27" s="25" t="s">
        <x:v>132</x:v>
      </x:c>
      <x:c r="N27" s="25"/>
    </x:row>
    <x:row r="28" ht="23.850000381469727" hidden="0">
      <x:c r="A28" s="23" t="s">
        <x:v>14</x:v>
      </x:c>
      <x:c r="B28" s="24" t="n">
        <x:v>1</x:v>
      </x:c>
      <x:c r="C28" s="24" t="s">
        <x:v>133</x:v>
      </x:c>
      <x:c r="D28" s="25" t="s">
        <x:v>134</x:v>
      </x:c>
      <x:c r="E28" s="25" t="s">
        <x:v>135</x:v>
      </x:c>
      <x:c r="F28" s="24" t="s">
        <x:v>136</x:v>
      </x:c>
      <x:c r="G28" s="25"/>
      <x:c r="H28" s="24" t="s">
        <x:v>19</x:v>
      </x:c>
      <x:c r="I28" s="24" t="s">
        <x:v>20</x:v>
      </x:c>
      <x:c r="J28" s="25"/>
      <x:c r="K28" s="26" t="n">
        <x:v>1.5</x:v>
      </x:c>
      <x:c r="L28" s="24" t="s">
        <x:v>21</x:v>
      </x:c>
      <x:c r="M28" s="25" t="s">
        <x:v>137</x:v>
      </x:c>
      <x:c r="N28" s="25"/>
    </x:row>
    <x:row r="29" ht="23.850000381469727" hidden="0">
      <x:c r="A29" s="23" t="s">
        <x:v>23</x:v>
      </x:c>
      <x:c r="B29" s="24" t="n">
        <x:v>2</x:v>
      </x:c>
      <x:c r="C29" s="24" t="s">
        <x:v>138</x:v>
      </x:c>
      <x:c r="D29" s="25" t="s">
        <x:v>125</x:v>
      </x:c>
      <x:c r="E29" s="25" t="s">
        <x:v>139</x:v>
      </x:c>
      <x:c r="F29" s="24" t="s">
        <x:v>127</x:v>
      </x:c>
      <x:c r="G29" s="25"/>
      <x:c r="H29" s="24" t="s">
        <x:v>19</x:v>
      </x:c>
      <x:c r="I29" s="24" t="s">
        <x:v>20</x:v>
      </x:c>
      <x:c r="J29" s="25" t="s">
        <x:v>124</x:v>
      </x:c>
      <x:c r="K29" s="26" t="n">
        <x:v>0.5</x:v>
      </x:c>
      <x:c r="L29" s="24" t="s">
        <x:v>21</x:v>
      </x:c>
      <x:c r="M29" s="25" t="s">
        <x:v>140</x:v>
      </x:c>
      <x:c r="N29" s="25"/>
    </x:row>
    <x:row r="30" ht="23.850000381469727" hidden="0">
      <x:c r="A30" s="23" t="s">
        <x:v>23</x:v>
      </x:c>
      <x:c r="B30" s="24" t="n">
        <x:v>2</x:v>
      </x:c>
      <x:c r="C30" s="24" t="s">
        <x:v>122</x:v>
      </x:c>
      <x:c r="D30" s="25" t="s">
        <x:v>125</x:v>
      </x:c>
      <x:c r="E30" s="25" t="s">
        <x:v>141</x:v>
      </x:c>
      <x:c r="F30" s="24" t="s">
        <x:v>142</x:v>
      </x:c>
      <x:c r="G30" s="25"/>
      <x:c r="H30" s="24" t="s">
        <x:v>19</x:v>
      </x:c>
      <x:c r="I30" s="24" t="s">
        <x:v>20</x:v>
      </x:c>
      <x:c r="J30" s="25" t="s">
        <x:v>124</x:v>
      </x:c>
      <x:c r="K30" s="26" t="n">
        <x:v>1</x:v>
      </x:c>
      <x:c r="L30" s="24" t="s">
        <x:v>21</x:v>
      </x:c>
      <x:c r="M30" s="25" t="s">
        <x:v>143</x:v>
      </x:c>
      <x:c r="N30" s="25"/>
    </x:row>
    <x:row r="31" ht="23.850000381469727" hidden="0">
      <x:c r="A31" s="23" t="s">
        <x:v>23</x:v>
      </x:c>
      <x:c r="B31" s="24" t="n">
        <x:v>2</x:v>
      </x:c>
      <x:c r="C31" s="24" t="s">
        <x:v>144</x:v>
      </x:c>
      <x:c r="D31" s="25" t="s">
        <x:v>125</x:v>
      </x:c>
      <x:c r="E31" s="25" t="s">
        <x:v>145</x:v>
      </x:c>
      <x:c r="F31" s="24" t="s">
        <x:v>146</x:v>
      </x:c>
      <x:c r="G31" s="25"/>
      <x:c r="H31" s="24" t="s">
        <x:v>19</x:v>
      </x:c>
      <x:c r="I31" s="24" t="s">
        <x:v>20</x:v>
      </x:c>
      <x:c r="J31" s="25" t="s">
        <x:v>122</x:v>
      </x:c>
      <x:c r="K31" s="26" t="n">
        <x:v>1</x:v>
      </x:c>
      <x:c r="L31" s="24" t="s">
        <x:v>21</x:v>
      </x:c>
      <x:c r="M31" s="25" t="s">
        <x:v>147</x:v>
      </x:c>
      <x:c r="N31" s="25"/>
    </x:row>
    <x:row r="32" ht="23.850000381469727" hidden="0">
      <x:c r="A32" s="23" t="s">
        <x:v>23</x:v>
      </x:c>
      <x:c r="B32" s="24" t="n">
        <x:v>2</x:v>
      </x:c>
      <x:c r="C32" s="24" t="s">
        <x:v>148</x:v>
      </x:c>
      <x:c r="D32" s="25" t="s">
        <x:v>125</x:v>
      </x:c>
      <x:c r="E32" s="25" t="s">
        <x:v>149</x:v>
      </x:c>
      <x:c r="F32" s="24" t="s">
        <x:v>150</x:v>
      </x:c>
      <x:c r="G32" s="25"/>
      <x:c r="H32" s="24" t="s">
        <x:v>19</x:v>
      </x:c>
      <x:c r="I32" s="24" t="s">
        <x:v>20</x:v>
      </x:c>
      <x:c r="J32" s="25" t="s">
        <x:v>144</x:v>
      </x:c>
      <x:c r="K32" s="26" t="n">
        <x:v>0.5</x:v>
      </x:c>
      <x:c r="L32" s="24" t="s">
        <x:v>21</x:v>
      </x:c>
      <x:c r="M32" s="25" t="s">
        <x:v>151</x:v>
      </x:c>
      <x:c r="N32" s="25"/>
    </x:row>
    <x:row r="33" ht="23.850000381469727" hidden="0">
      <x:c r="A33" s="23" t="s">
        <x:v>23</x:v>
      </x:c>
      <x:c r="B33" s="24" t="n">
        <x:v>2</x:v>
      </x:c>
      <x:c r="C33" s="24" t="s">
        <x:v>152</x:v>
      </x:c>
      <x:c r="D33" s="25" t="s">
        <x:v>125</x:v>
      </x:c>
      <x:c r="E33" s="25" t="s">
        <x:v>153</x:v>
      </x:c>
      <x:c r="F33" s="24" t="s">
        <x:v>154</x:v>
      </x:c>
      <x:c r="G33" s="25"/>
      <x:c r="H33" s="24" t="s">
        <x:v>19</x:v>
      </x:c>
      <x:c r="I33" s="24" t="s">
        <x:v>20</x:v>
      </x:c>
      <x:c r="J33" s="25" t="s">
        <x:v>155</x:v>
      </x:c>
      <x:c r="K33" s="26" t="n">
        <x:v>1</x:v>
      </x:c>
      <x:c r="L33" s="24" t="s">
        <x:v>21</x:v>
      </x:c>
      <x:c r="M33" s="25" t="s">
        <x:v>156</x:v>
      </x:c>
      <x:c r="N33" s="25"/>
    </x:row>
    <x:row r="34" ht="15" hidden="0">
      <x:c r="A34" s="23" t="s">
        <x:v>23</x:v>
      </x:c>
      <x:c r="B34" s="24" t="n">
        <x:v>2</x:v>
      </x:c>
      <x:c r="C34" s="24" t="s">
        <x:v>157</x:v>
      </x:c>
      <x:c r="D34" s="25" t="s">
        <x:v>125</x:v>
      </x:c>
      <x:c r="E34" s="25" t="s">
        <x:v>158</x:v>
      </x:c>
      <x:c r="F34" s="24" t="s">
        <x:v>159</x:v>
      </x:c>
      <x:c r="G34" s="25"/>
      <x:c r="H34" s="24" t="s">
        <x:v>19</x:v>
      </x:c>
      <x:c r="I34" s="24" t="s">
        <x:v>20</x:v>
      </x:c>
      <x:c r="J34" s="25" t="s">
        <x:v>152</x:v>
      </x:c>
      <x:c r="K34" s="26" t="n">
        <x:v>0.5</x:v>
      </x:c>
      <x:c r="L34" s="24" t="s">
        <x:v>21</x:v>
      </x:c>
      <x:c r="M34" s="25" t="s">
        <x:v>160</x:v>
      </x:c>
      <x:c r="N34" s="25"/>
    </x:row>
    <x:row r="35" ht="15" hidden="0">
      <x:c r="A35" s="23" t="s">
        <x:v>23</x:v>
      </x:c>
      <x:c r="B35" s="24" t="n">
        <x:v>2</x:v>
      </x:c>
      <x:c r="C35" s="24" t="s">
        <x:v>161</x:v>
      </x:c>
      <x:c r="D35" s="25" t="s">
        <x:v>125</x:v>
      </x:c>
      <x:c r="E35" s="25" t="s">
        <x:v>162</x:v>
      </x:c>
      <x:c r="F35" s="24" t="s">
        <x:v>163</x:v>
      </x:c>
      <x:c r="G35" s="25"/>
      <x:c r="H35" s="24" t="s">
        <x:v>19</x:v>
      </x:c>
      <x:c r="I35" s="24" t="s">
        <x:v>20</x:v>
      </x:c>
      <x:c r="J35" s="25" t="s">
        <x:v>124</x:v>
      </x:c>
      <x:c r="K35" s="26" t="n">
        <x:v>1</x:v>
      </x:c>
      <x:c r="L35" s="24" t="s">
        <x:v>21</x:v>
      </x:c>
      <x:c r="M35" s="25" t="s">
        <x:v>164</x:v>
      </x:c>
      <x:c r="N35" s="25"/>
    </x:row>
    <x:row r="36" ht="15" hidden="0">
      <x:c r="A36" s="23" t="s">
        <x:v>23</x:v>
      </x:c>
      <x:c r="B36" s="24" t="n">
        <x:v>2</x:v>
      </x:c>
      <x:c r="C36" s="24" t="s">
        <x:v>165</x:v>
      </x:c>
      <x:c r="D36" s="25" t="s">
        <x:v>51</x:v>
      </x:c>
      <x:c r="E36" s="25" t="s">
        <x:v>166</x:v>
      </x:c>
      <x:c r="F36" s="24" t="s">
        <x:v>167</x:v>
      </x:c>
      <x:c r="G36" s="25"/>
      <x:c r="H36" s="24" t="s">
        <x:v>19</x:v>
      </x:c>
      <x:c r="I36" s="24" t="s">
        <x:v>20</x:v>
      </x:c>
      <x:c r="J36" s="25" t="s">
        <x:v>129</x:v>
      </x:c>
      <x:c r="K36" s="26" t="n">
        <x:v>1</x:v>
      </x:c>
      <x:c r="L36" s="24" t="s">
        <x:v>21</x:v>
      </x:c>
      <x:c r="M36" s="25" t="s">
        <x:v>168</x:v>
      </x:c>
      <x:c r="N36" s="25"/>
    </x:row>
    <x:row r="37" ht="23.850000381469727" hidden="0">
      <x:c r="A37" s="23" t="s">
        <x:v>29</x:v>
      </x:c>
      <x:c r="B37" s="24" t="n">
        <x:v>3</x:v>
      </x:c>
      <x:c r="C37" s="24" t="s">
        <x:v>169</x:v>
      </x:c>
      <x:c r="D37" s="25" t="s">
        <x:v>125</x:v>
      </x:c>
      <x:c r="E37" s="25" t="s">
        <x:v>170</x:v>
      </x:c>
      <x:c r="F37" s="24" t="s">
        <x:v>171</x:v>
      </x:c>
      <x:c r="G37" s="25"/>
      <x:c r="H37" s="24" t="s">
        <x:v>19</x:v>
      </x:c>
      <x:c r="I37" s="24" t="s">
        <x:v>20</x:v>
      </x:c>
      <x:c r="J37" s="25" t="s">
        <x:v>172</x:v>
      </x:c>
      <x:c r="K37" s="26" t="n">
        <x:v>1.5</x:v>
      </x:c>
      <x:c r="L37" s="24" t="s">
        <x:v>21</x:v>
      </x:c>
      <x:c r="M37" s="25" t="s">
        <x:v>173</x:v>
      </x:c>
      <x:c r="N37" s="25"/>
    </x:row>
    <x:row r="38" ht="23.850000381469727" hidden="0">
      <x:c r="A38" s="23" t="s">
        <x:v>29</x:v>
      </x:c>
      <x:c r="B38" s="24" t="n">
        <x:v>3</x:v>
      </x:c>
      <x:c r="C38" s="24" t="s">
        <x:v>174</x:v>
      </x:c>
      <x:c r="D38" s="25" t="s">
        <x:v>175</x:v>
      </x:c>
      <x:c r="E38" s="25" t="s">
        <x:v>176</x:v>
      </x:c>
      <x:c r="F38" s="24" t="s">
        <x:v>177</x:v>
      </x:c>
      <x:c r="G38" s="25"/>
      <x:c r="H38" s="24" t="s">
        <x:v>19</x:v>
      </x:c>
      <x:c r="I38" s="24" t="s">
        <x:v>20</x:v>
      </x:c>
      <x:c r="J38" s="25" t="s">
        <x:v>169</x:v>
      </x:c>
      <x:c r="K38" s="26" t="n">
        <x:v>2</x:v>
      </x:c>
      <x:c r="L38" s="24" t="s">
        <x:v>21</x:v>
      </x:c>
      <x:c r="M38" s="25" t="s">
        <x:v>178</x:v>
      </x:c>
      <x:c r="N38" s="25"/>
    </x:row>
    <x:row r="39" ht="15" hidden="0">
      <x:c r="A39" s="23" t="s">
        <x:v>29</x:v>
      </x:c>
      <x:c r="B39" s="24" t="n">
        <x:v>3</x:v>
      </x:c>
      <x:c r="C39" s="24" t="s">
        <x:v>179</x:v>
      </x:c>
      <x:c r="D39" s="25" t="s">
        <x:v>125</x:v>
      </x:c>
      <x:c r="E39" s="25" t="s">
        <x:v>180</x:v>
      </x:c>
      <x:c r="F39" s="24" t="s">
        <x:v>181</x:v>
      </x:c>
      <x:c r="G39" s="25"/>
      <x:c r="H39" s="24" t="s">
        <x:v>19</x:v>
      </x:c>
      <x:c r="I39" s="24" t="s">
        <x:v>78</x:v>
      </x:c>
      <x:c r="J39" s="25" t="s">
        <x:v>161</x:v>
      </x:c>
      <x:c r="K39" s="26" t="n">
        <x:v>1</x:v>
      </x:c>
      <x:c r="L39" s="24" t="s">
        <x:v>21</x:v>
      </x:c>
      <x:c r="M39" s="25" t="s">
        <x:v>182</x:v>
      </x:c>
      <x:c r="N39" s="25"/>
    </x:row>
    <x:row r="40" ht="15" hidden="0">
      <x:c r="A40" s="27" t="s">
        <x:v>183</x:v>
      </x:c>
      <x:c r="B40" s="28" t="n">
        <x:v>4</x:v>
      </x:c>
      <x:c r="C40" s="28" t="s">
        <x:v>184</x:v>
      </x:c>
      <x:c r="D40" s="29" t="s">
        <x:v>51</x:v>
      </x:c>
      <x:c r="E40" s="29" t="s">
        <x:v>185</x:v>
      </x:c>
      <x:c r="F40" s="28" t="s">
        <x:v>171</x:v>
      </x:c>
      <x:c r="G40" s="29"/>
      <x:c r="H40" s="28" t="s">
        <x:v>19</x:v>
      </x:c>
      <x:c r="I40" s="28" t="s">
        <x:v>20</x:v>
      </x:c>
      <x:c r="J40" s="29" t="s">
        <x:v>186</x:v>
      </x:c>
      <x:c r="K40" s="30" t="n">
        <x:v>1</x:v>
      </x:c>
      <x:c r="L40" s="28" t="s">
        <x:v>21</x:v>
      </x:c>
      <x:c r="M40" s="29" t="s">
        <x:v>187</x:v>
      </x:c>
      <x:c r="N40" s="29"/>
    </x:row>
    <x:row r="41" ht="23.850000381469727" hidden="0">
      <x:c r="A41" s="31" t="s">
        <x:v>183</x:v>
      </x:c>
      <x:c r="B41" s="32" t="n">
        <x:v>4</x:v>
      </x:c>
      <x:c r="C41" s="32" t="s">
        <x:v>188</x:v>
      </x:c>
      <x:c r="D41" s="33" t="s">
        <x:v>51</x:v>
      </x:c>
      <x:c r="E41" s="33" t="s">
        <x:v>189</x:v>
      </x:c>
      <x:c r="F41" s="32" t="s">
        <x:v>190</x:v>
      </x:c>
      <x:c r="G41" s="33"/>
      <x:c r="H41" s="32" t="s">
        <x:v>19</x:v>
      </x:c>
      <x:c r="I41" s="32" t="s">
        <x:v>20</x:v>
      </x:c>
      <x:c r="J41" s="33" t="s">
        <x:v>191</x:v>
      </x:c>
      <x:c r="K41" s="34" t="n">
        <x:v>1</x:v>
      </x:c>
      <x:c r="L41" s="32" t="s">
        <x:v>27</x:v>
      </x:c>
      <x:c r="M41" s="33" t="s">
        <x:v>192</x:v>
      </x:c>
      <x:c r="N41" s="33"/>
    </x:row>
    <x:row r="42" ht="15" hidden="0">
      <x:c r="A42" s="31" t="s">
        <x:v>183</x:v>
      </x:c>
      <x:c r="B42" s="32" t="n">
        <x:v>4</x:v>
      </x:c>
      <x:c r="C42" s="32" t="s">
        <x:v>193</x:v>
      </x:c>
      <x:c r="D42" s="33" t="s">
        <x:v>51</x:v>
      </x:c>
      <x:c r="E42" s="33" t="s">
        <x:v>194</x:v>
      </x:c>
      <x:c r="F42" s="32" t="s">
        <x:v>195</x:v>
      </x:c>
      <x:c r="G42" s="33"/>
      <x:c r="H42" s="32" t="s">
        <x:v>19</x:v>
      </x:c>
      <x:c r="I42" s="32" t="s">
        <x:v>20</x:v>
      </x:c>
      <x:c r="J42" s="33" t="s">
        <x:v>196</x:v>
      </x:c>
      <x:c r="K42" s="34" t="n">
        <x:v>1</x:v>
      </x:c>
      <x:c r="L42" s="32" t="s">
        <x:v>27</x:v>
      </x:c>
      <x:c r="M42" s="33" t="s">
        <x:v>197</x:v>
      </x:c>
      <x:c r="N42" s="33"/>
    </x:row>
    <x:row r="43" ht="15" hidden="0">
      <x:c r="A43" s="31" t="s">
        <x:v>183</x:v>
      </x:c>
      <x:c r="B43" s="32" t="n">
        <x:v>4</x:v>
      </x:c>
      <x:c r="C43" s="32" t="s">
        <x:v>198</x:v>
      </x:c>
      <x:c r="D43" s="33" t="s">
        <x:v>101</x:v>
      </x:c>
      <x:c r="E43" s="33" t="s">
        <x:v>199</x:v>
      </x:c>
      <x:c r="F43" s="32" t="s">
        <x:v>58</x:v>
      </x:c>
      <x:c r="G43" s="33"/>
      <x:c r="H43" s="32" t="s">
        <x:v>19</x:v>
      </x:c>
      <x:c r="I43" s="32" t="s">
        <x:v>20</x:v>
      </x:c>
      <x:c r="J43" s="33" t="s">
        <x:v>200</x:v>
      </x:c>
      <x:c r="K43" s="34" t="n">
        <x:v>2</x:v>
      </x:c>
      <x:c r="L43" s="32" t="s">
        <x:v>27</x:v>
      </x:c>
      <x:c r="M43" s="33" t="s">
        <x:v>201</x:v>
      </x:c>
      <x:c r="N43" s="33"/>
    </x:row>
    <x:row r="44" ht="15" hidden="0">
      <x:c r="A44" s="31" t="s">
        <x:v>183</x:v>
      </x:c>
      <x:c r="B44" s="32" t="n">
        <x:v>4</x:v>
      </x:c>
      <x:c r="C44" s="32" t="s">
        <x:v>202</x:v>
      </x:c>
      <x:c r="D44" s="33" t="s">
        <x:v>134</x:v>
      </x:c>
      <x:c r="E44" s="33" t="s">
        <x:v>203</x:v>
      </x:c>
      <x:c r="F44" s="32" t="s">
        <x:v>195</x:v>
      </x:c>
      <x:c r="G44" s="33"/>
      <x:c r="H44" s="32" t="s">
        <x:v>19</x:v>
      </x:c>
      <x:c r="I44" s="32" t="s">
        <x:v>20</x:v>
      </x:c>
      <x:c r="J44" s="33" t="s">
        <x:v>204</x:v>
      </x:c>
      <x:c r="K44" s="34" t="n">
        <x:v>1</x:v>
      </x:c>
      <x:c r="L44" s="32" t="s">
        <x:v>27</x:v>
      </x:c>
      <x:c r="M44" s="33" t="s">
        <x:v>205</x:v>
      </x:c>
      <x:c r="N44" s="33"/>
    </x:row>
    <x:row r="45" ht="15" hidden="0">
      <x:c r="A45" s="31" t="s">
        <x:v>183</x:v>
      </x:c>
      <x:c r="B45" s="32" t="n">
        <x:v>4</x:v>
      </x:c>
      <x:c r="C45" s="32" t="s">
        <x:v>206</x:v>
      </x:c>
      <x:c r="D45" s="33" t="s">
        <x:v>207</x:v>
      </x:c>
      <x:c r="E45" s="33" t="s">
        <x:v>208</x:v>
      </x:c>
      <x:c r="F45" s="32" t="s">
        <x:v>209</x:v>
      </x:c>
      <x:c r="G45" s="33"/>
      <x:c r="H45" s="32" t="s">
        <x:v>19</x:v>
      </x:c>
      <x:c r="I45" s="32" t="s">
        <x:v>20</x:v>
      </x:c>
      <x:c r="J45" s="33" t="s">
        <x:v>210</x:v>
      </x:c>
      <x:c r="K45" s="34" t="n">
        <x:v>0.5</x:v>
      </x:c>
      <x:c r="L45" s="32" t="s">
        <x:v>27</x:v>
      </x:c>
      <x:c r="M45" s="33" t="s">
        <x:v>211</x:v>
      </x:c>
      <x:c r="N45" s="33"/>
    </x:row>
    <x:row r="46" ht="23.850000381469727" hidden="0">
      <x:c r="A46" s="31" t="s">
        <x:v>183</x:v>
      </x:c>
      <x:c r="B46" s="32" t="n">
        <x:v>4</x:v>
      </x:c>
      <x:c r="C46" s="32" t="s">
        <x:v>212</x:v>
      </x:c>
      <x:c r="D46" s="33" t="s">
        <x:v>101</x:v>
      </x:c>
      <x:c r="E46" s="33" t="s">
        <x:v>213</x:v>
      </x:c>
      <x:c r="F46" s="32" t="s">
        <x:v>214</x:v>
      </x:c>
      <x:c r="G46" s="33"/>
      <x:c r="H46" s="32" t="s">
        <x:v>19</x:v>
      </x:c>
      <x:c r="I46" s="32" t="s">
        <x:v>78</x:v>
      </x:c>
      <x:c r="J46" s="33" t="s">
        <x:v>100</x:v>
      </x:c>
      <x:c r="K46" s="34" t="n">
        <x:v>1</x:v>
      </x:c>
      <x:c r="L46" s="32" t="s">
        <x:v>21</x:v>
      </x:c>
      <x:c r="M46" s="33" t="s">
        <x:v>215</x:v>
      </x:c>
      <x:c r="N46" s="33"/>
    </x:row>
    <x:row r="47" ht="15" hidden="0">
      <x:c r="A47" s="31" t="s">
        <x:v>183</x:v>
      </x:c>
      <x:c r="B47" s="32" t="n">
        <x:v>4</x:v>
      </x:c>
      <x:c r="C47" s="32" t="s">
        <x:v>216</x:v>
      </x:c>
      <x:c r="D47" s="33" t="s">
        <x:v>134</x:v>
      </x:c>
      <x:c r="E47" s="33" t="s">
        <x:v>217</x:v>
      </x:c>
      <x:c r="F47" s="32" t="s">
        <x:v>142</x:v>
      </x:c>
      <x:c r="G47" s="33"/>
      <x:c r="H47" s="32" t="s">
        <x:v>19</x:v>
      </x:c>
      <x:c r="I47" s="32" t="s">
        <x:v>78</x:v>
      </x:c>
      <x:c r="J47" s="33" t="s">
        <x:v>218</x:v>
      </x:c>
      <x:c r="K47" s="34" t="n">
        <x:v>1.5</x:v>
      </x:c>
      <x:c r="L47" s="32" t="s">
        <x:v>21</x:v>
      </x:c>
      <x:c r="M47" s="33" t="s">
        <x:v>219</x:v>
      </x:c>
      <x:c r="N47" s="33"/>
    </x:row>
    <x:row r="48" ht="23.850000381469727" hidden="0">
      <x:c r="A48" s="31" t="s">
        <x:v>183</x:v>
      </x:c>
      <x:c r="B48" s="32" t="n">
        <x:v>4</x:v>
      </x:c>
      <x:c r="C48" s="32" t="s">
        <x:v>210</x:v>
      </x:c>
      <x:c r="D48" s="33" t="s">
        <x:v>134</x:v>
      </x:c>
      <x:c r="E48" s="33" t="s">
        <x:v>220</x:v>
      </x:c>
      <x:c r="F48" s="32" t="s">
        <x:v>40</x:v>
      </x:c>
      <x:c r="G48" s="33"/>
      <x:c r="H48" s="32" t="s">
        <x:v>19</x:v>
      </x:c>
      <x:c r="I48" s="32" t="s">
        <x:v>78</x:v>
      </x:c>
      <x:c r="J48" s="33" t="s">
        <x:v>221</x:v>
      </x:c>
      <x:c r="K48" s="34" t="n">
        <x:v>1.5</x:v>
      </x:c>
      <x:c r="L48" s="32" t="s">
        <x:v>27</x:v>
      </x:c>
      <x:c r="M48" s="33" t="s">
        <x:v>222</x:v>
      </x:c>
      <x:c r="N48" s="33"/>
    </x:row>
    <x:row r="49" ht="15" hidden="0">
      <x:c r="A49" s="31" t="s">
        <x:v>183</x:v>
      </x:c>
      <x:c r="B49" s="32" t="n">
        <x:v>4</x:v>
      </x:c>
      <x:c r="C49" s="32" t="s">
        <x:v>223</x:v>
      </x:c>
      <x:c r="D49" s="33" t="s">
        <x:v>134</x:v>
      </x:c>
      <x:c r="E49" s="33" t="s">
        <x:v>224</x:v>
      </x:c>
      <x:c r="F49" s="32" t="s">
        <x:v>48</x:v>
      </x:c>
      <x:c r="G49" s="33"/>
      <x:c r="H49" s="32" t="s">
        <x:v>19</x:v>
      </x:c>
      <x:c r="I49" s="32" t="s">
        <x:v>78</x:v>
      </x:c>
      <x:c r="J49" s="33" t="s">
        <x:v>221</x:v>
      </x:c>
      <x:c r="K49" s="34" t="n">
        <x:v>0.5</x:v>
      </x:c>
      <x:c r="L49" s="32" t="s">
        <x:v>27</x:v>
      </x:c>
      <x:c r="M49" s="33" t="s">
        <x:v>225</x:v>
      </x:c>
      <x:c r="N49" s="33"/>
    </x:row>
    <x:row r="50" ht="23.850000381469727" hidden="0">
      <x:c r="A50" s="31" t="s">
        <x:v>183</x:v>
      </x:c>
      <x:c r="B50" s="32" t="n">
        <x:v>4</x:v>
      </x:c>
      <x:c r="C50" s="32" t="s">
        <x:v>226</x:v>
      </x:c>
      <x:c r="D50" s="33" t="s">
        <x:v>134</x:v>
      </x:c>
      <x:c r="E50" s="33" t="s">
        <x:v>227</x:v>
      </x:c>
      <x:c r="F50" s="32" t="s">
        <x:v>67</x:v>
      </x:c>
      <x:c r="G50" s="33"/>
      <x:c r="H50" s="32" t="s">
        <x:v>19</x:v>
      </x:c>
      <x:c r="I50" s="32" t="s">
        <x:v>78</x:v>
      </x:c>
      <x:c r="J50" s="33" t="s">
        <x:v>228</x:v>
      </x:c>
      <x:c r="K50" s="34" t="n">
        <x:v>1</x:v>
      </x:c>
      <x:c r="L50" s="32" t="s">
        <x:v>27</x:v>
      </x:c>
      <x:c r="M50" s="33" t="s">
        <x:v>229</x:v>
      </x:c>
      <x:c r="N50" s="33"/>
    </x:row>
    <x:row r="51" ht="23.850000381469727" hidden="0">
      <x:c r="A51" s="35" t="s">
        <x:v>230</x:v>
      </x:c>
      <x:c r="B51" s="36" t="n">
        <x:v>5</x:v>
      </x:c>
      <x:c r="C51" s="36" t="s">
        <x:v>231</x:v>
      </x:c>
      <x:c r="D51" s="37" t="s">
        <x:v>134</x:v>
      </x:c>
      <x:c r="E51" s="37" t="s">
        <x:v>232</x:v>
      </x:c>
      <x:c r="F51" s="36" t="s">
        <x:v>233</x:v>
      </x:c>
      <x:c r="G51" s="37"/>
      <x:c r="H51" s="36" t="s">
        <x:v>19</x:v>
      </x:c>
      <x:c r="I51" s="36" t="s">
        <x:v>20</x:v>
      </x:c>
      <x:c r="J51" s="37" t="s">
        <x:v>234</x:v>
      </x:c>
      <x:c r="K51" s="38" t="n">
        <x:v>0.5</x:v>
      </x:c>
      <x:c r="L51" s="36" t="s">
        <x:v>21</x:v>
      </x:c>
      <x:c r="M51" s="37" t="s">
        <x:v>235</x:v>
      </x:c>
      <x:c r="N51" s="37"/>
    </x:row>
    <x:row r="52" ht="23.850000381469727" hidden="0">
      <x:c r="A52" s="39" t="s">
        <x:v>230</x:v>
      </x:c>
      <x:c r="B52" s="40" t="n">
        <x:v>5</x:v>
      </x:c>
      <x:c r="C52" s="40" t="s">
        <x:v>236</x:v>
      </x:c>
      <x:c r="D52" s="41" t="s">
        <x:v>134</x:v>
      </x:c>
      <x:c r="E52" s="41" t="s">
        <x:v>237</x:v>
      </x:c>
      <x:c r="F52" s="40" t="s">
        <x:v>238</x:v>
      </x:c>
      <x:c r="G52" s="41"/>
      <x:c r="H52" s="40" t="s">
        <x:v>19</x:v>
      </x:c>
      <x:c r="I52" s="40" t="s">
        <x:v>20</x:v>
      </x:c>
      <x:c r="J52" s="41" t="s">
        <x:v>239</x:v>
      </x:c>
      <x:c r="K52" s="42" t="n">
        <x:v>1.5</x:v>
      </x:c>
      <x:c r="L52" s="40" t="s">
        <x:v>27</x:v>
      </x:c>
      <x:c r="M52" s="41" t="s">
        <x:v>240</x:v>
      </x:c>
      <x:c r="N52" s="41"/>
    </x:row>
    <x:row r="53" ht="23.850000381469727" hidden="0">
      <x:c r="A53" s="39" t="s">
        <x:v>230</x:v>
      </x:c>
      <x:c r="B53" s="40" t="n">
        <x:v>5</x:v>
      </x:c>
      <x:c r="C53" s="40" t="s">
        <x:v>241</x:v>
      </x:c>
      <x:c r="D53" s="41" t="s">
        <x:v>31</x:v>
      </x:c>
      <x:c r="E53" s="41" t="s">
        <x:v>242</x:v>
      </x:c>
      <x:c r="F53" s="40" t="s">
        <x:v>243</x:v>
      </x:c>
      <x:c r="G53" s="41"/>
      <x:c r="H53" s="40" t="s">
        <x:v>19</x:v>
      </x:c>
      <x:c r="I53" s="40" t="s">
        <x:v>20</x:v>
      </x:c>
      <x:c r="J53" s="41" t="s">
        <x:v>244</x:v>
      </x:c>
      <x:c r="K53" s="42" t="n">
        <x:v>0.5</x:v>
      </x:c>
      <x:c r="L53" s="40" t="s">
        <x:v>27</x:v>
      </x:c>
      <x:c r="M53" s="41" t="s">
        <x:v>245</x:v>
      </x:c>
      <x:c r="N53" s="41"/>
    </x:row>
    <x:row r="54" ht="15" hidden="0">
      <x:c r="A54" s="39" t="s">
        <x:v>230</x:v>
      </x:c>
      <x:c r="B54" s="40" t="n">
        <x:v>5</x:v>
      </x:c>
      <x:c r="C54" s="40" t="s">
        <x:v>246</x:v>
      </x:c>
      <x:c r="D54" s="41" t="s">
        <x:v>101</x:v>
      </x:c>
      <x:c r="E54" s="41" t="s">
        <x:v>247</x:v>
      </x:c>
      <x:c r="F54" s="40" t="s">
        <x:v>248</x:v>
      </x:c>
      <x:c r="G54" s="41"/>
      <x:c r="H54" s="40" t="s">
        <x:v>19</x:v>
      </x:c>
      <x:c r="I54" s="40" t="s">
        <x:v>78</x:v>
      </x:c>
      <x:c r="J54" s="41" t="s">
        <x:v>100</x:v>
      </x:c>
      <x:c r="K54" s="42" t="n">
        <x:v>0.5</x:v>
      </x:c>
      <x:c r="L54" s="40" t="s">
        <x:v>27</x:v>
      </x:c>
      <x:c r="M54" s="41" t="s">
        <x:v>249</x:v>
      </x:c>
      <x:c r="N54" s="41"/>
    </x:row>
    <x:row r="55" ht="23.850000381469727" hidden="0">
      <x:c r="A55" s="39" t="s">
        <x:v>230</x:v>
      </x:c>
      <x:c r="B55" s="40" t="n">
        <x:v>5</x:v>
      </x:c>
      <x:c r="C55" s="40" t="s">
        <x:v>250</x:v>
      </x:c>
      <x:c r="D55" s="41" t="s">
        <x:v>101</x:v>
      </x:c>
      <x:c r="E55" s="41" t="s">
        <x:v>251</x:v>
      </x:c>
      <x:c r="F55" s="40" t="s">
        <x:v>248</x:v>
      </x:c>
      <x:c r="G55" s="41"/>
      <x:c r="H55" s="40" t="s">
        <x:v>19</x:v>
      </x:c>
      <x:c r="I55" s="40" t="s">
        <x:v>78</x:v>
      </x:c>
      <x:c r="J55" s="41" t="s">
        <x:v>252</x:v>
      </x:c>
      <x:c r="K55" s="42" t="n">
        <x:v>1.5</x:v>
      </x:c>
      <x:c r="L55" s="40" t="s">
        <x:v>27</x:v>
      </x:c>
      <x:c r="M55" s="41" t="s">
        <x:v>253</x:v>
      </x:c>
      <x:c r="N55" s="41"/>
    </x:row>
    <x:row r="56" ht="23.850000381469727" hidden="0">
      <x:c r="A56" s="39" t="s">
        <x:v>230</x:v>
      </x:c>
      <x:c r="B56" s="40" t="n">
        <x:v>5</x:v>
      </x:c>
      <x:c r="C56" s="40" t="s">
        <x:v>234</x:v>
      </x:c>
      <x:c r="D56" s="41" t="s">
        <x:v>134</x:v>
      </x:c>
      <x:c r="E56" s="41" t="s">
        <x:v>254</x:v>
      </x:c>
      <x:c r="F56" s="40" t="s">
        <x:v>171</x:v>
      </x:c>
      <x:c r="G56" s="41"/>
      <x:c r="H56" s="40" t="s">
        <x:v>19</x:v>
      </x:c>
      <x:c r="I56" s="40" t="s">
        <x:v>78</x:v>
      </x:c>
      <x:c r="J56" s="41" t="s">
        <x:v>255</x:v>
      </x:c>
      <x:c r="K56" s="42" t="n">
        <x:v>2</x:v>
      </x:c>
      <x:c r="L56" s="40" t="s">
        <x:v>21</x:v>
      </x:c>
      <x:c r="M56" s="41" t="s">
        <x:v>256</x:v>
      </x:c>
      <x:c r="N56" s="41"/>
    </x:row>
    <x:row r="57" ht="15" hidden="0">
      <x:c r="A57" s="39" t="s">
        <x:v>230</x:v>
      </x:c>
      <x:c r="B57" s="40" t="n">
        <x:v>5</x:v>
      </x:c>
      <x:c r="C57" s="40" t="s">
        <x:v>257</x:v>
      </x:c>
      <x:c r="D57" s="41" t="s">
        <x:v>134</x:v>
      </x:c>
      <x:c r="E57" s="41" t="s">
        <x:v>258</x:v>
      </x:c>
      <x:c r="F57" s="40" t="s">
        <x:v>86</x:v>
      </x:c>
      <x:c r="G57" s="41"/>
      <x:c r="H57" s="40" t="s">
        <x:v>19</x:v>
      </x:c>
      <x:c r="I57" s="40" t="s">
        <x:v>78</x:v>
      </x:c>
      <x:c r="J57" s="41" t="s">
        <x:v>239</x:v>
      </x:c>
      <x:c r="K57" s="42" t="n">
        <x:v>0.5</x:v>
      </x:c>
      <x:c r="L57" s="40" t="s">
        <x:v>27</x:v>
      </x:c>
      <x:c r="M57" s="41" t="s">
        <x:v>259</x:v>
      </x:c>
      <x:c r="N57" s="41"/>
    </x:row>
    <x:row r="58" ht="23.850000381469727" hidden="0">
      <x:c r="A58" s="39" t="s">
        <x:v>230</x:v>
      </x:c>
      <x:c r="B58" s="40" t="n">
        <x:v>5</x:v>
      </x:c>
      <x:c r="C58" s="40" t="s">
        <x:v>260</x:v>
      </x:c>
      <x:c r="D58" s="41" t="s">
        <x:v>134</x:v>
      </x:c>
      <x:c r="E58" s="41" t="s">
        <x:v>261</x:v>
      </x:c>
      <x:c r="F58" s="40" t="s">
        <x:v>262</x:v>
      </x:c>
      <x:c r="G58" s="41"/>
      <x:c r="H58" s="40" t="s">
        <x:v>19</x:v>
      </x:c>
      <x:c r="I58" s="40" t="s">
        <x:v>78</x:v>
      </x:c>
      <x:c r="J58" s="41" t="s">
        <x:v>216</x:v>
      </x:c>
      <x:c r="K58" s="42" t="n">
        <x:v>1</x:v>
      </x:c>
      <x:c r="L58" s="40" t="s">
        <x:v>21</x:v>
      </x:c>
      <x:c r="M58" s="41" t="s">
        <x:v>263</x:v>
      </x:c>
      <x:c r="N58" s="41"/>
    </x:row>
    <x:row r="59" ht="23.850000381469727" hidden="0">
      <x:c r="A59" s="39" t="s">
        <x:v>230</x:v>
      </x:c>
      <x:c r="B59" s="40" t="n">
        <x:v>5</x:v>
      </x:c>
      <x:c r="C59" s="40" t="s">
        <x:v>244</x:v>
      </x:c>
      <x:c r="D59" s="41" t="s">
        <x:v>264</x:v>
      </x:c>
      <x:c r="E59" s="41" t="s">
        <x:v>265</x:v>
      </x:c>
      <x:c r="F59" s="40" t="s">
        <x:v>266</x:v>
      </x:c>
      <x:c r="G59" s="41"/>
      <x:c r="H59" s="40" t="s">
        <x:v>19</x:v>
      </x:c>
      <x:c r="I59" s="40" t="s">
        <x:v>78</x:v>
      </x:c>
      <x:c r="J59" s="41" t="s">
        <x:v>169</x:v>
      </x:c>
      <x:c r="K59" s="42" t="n">
        <x:v>1.5</x:v>
      </x:c>
      <x:c r="L59" s="40" t="s">
        <x:v>21</x:v>
      </x:c>
      <x:c r="M59" s="41" t="s">
        <x:v>267</x:v>
      </x:c>
      <x:c r="N59" s="41"/>
    </x:row>
    <x:row r="60" ht="23.850000381469727" hidden="0">
      <x:c r="A60" s="39" t="s">
        <x:v>230</x:v>
      </x:c>
      <x:c r="B60" s="40" t="n">
        <x:v>5</x:v>
      </x:c>
      <x:c r="C60" s="40" t="s">
        <x:v>268</x:v>
      </x:c>
      <x:c r="D60" s="41" t="s">
        <x:v>264</x:v>
      </x:c>
      <x:c r="E60" s="41" t="s">
        <x:v>269</x:v>
      </x:c>
      <x:c r="F60" s="40" t="s">
        <x:v>270</x:v>
      </x:c>
      <x:c r="G60" s="41"/>
      <x:c r="H60" s="40" t="s">
        <x:v>19</x:v>
      </x:c>
      <x:c r="I60" s="40" t="s">
        <x:v>78</x:v>
      </x:c>
      <x:c r="J60" s="41" t="s">
        <x:v>169</x:v>
      </x:c>
      <x:c r="K60" s="42" t="n">
        <x:v>0.5</x:v>
      </x:c>
      <x:c r="L60" s="40" t="s">
        <x:v>27</x:v>
      </x:c>
      <x:c r="M60" s="41" t="s">
        <x:v>271</x:v>
      </x:c>
      <x:c r="N60" s="41"/>
    </x:row>
    <x:row r="61" ht="15" hidden="0">
      <x:c r="A61" s="39" t="s">
        <x:v>230</x:v>
      </x:c>
      <x:c r="B61" s="40" t="n">
        <x:v>5</x:v>
      </x:c>
      <x:c r="C61" s="40" t="s">
        <x:v>272</x:v>
      </x:c>
      <x:c r="D61" s="41" t="s">
        <x:v>175</x:v>
      </x:c>
      <x:c r="E61" s="41" t="s">
        <x:v>273</x:v>
      </x:c>
      <x:c r="F61" s="40" t="s">
        <x:v>274</x:v>
      </x:c>
      <x:c r="G61" s="41"/>
      <x:c r="H61" s="40" t="s">
        <x:v>19</x:v>
      </x:c>
      <x:c r="I61" s="40" t="s">
        <x:v>78</x:v>
      </x:c>
      <x:c r="J61" s="41" t="s">
        <x:v>104</x:v>
      </x:c>
      <x:c r="K61" s="42" t="n">
        <x:v>0.5</x:v>
      </x:c>
      <x:c r="L61" s="40" t="s">
        <x:v>21</x:v>
      </x:c>
      <x:c r="M61" s="41" t="s">
        <x:v>275</x:v>
      </x:c>
      <x:c r="N61" s="41"/>
    </x:row>
    <x:row r="62" ht="15" hidden="0">
      <x:c r="A62" s="39" t="s">
        <x:v>230</x:v>
      </x:c>
      <x:c r="B62" s="40" t="n">
        <x:v>5</x:v>
      </x:c>
      <x:c r="C62" s="40" t="s">
        <x:v>276</x:v>
      </x:c>
      <x:c r="D62" s="41" t="s">
        <x:v>175</x:v>
      </x:c>
      <x:c r="E62" s="41" t="s">
        <x:v>277</x:v>
      </x:c>
      <x:c r="F62" s="40" t="s">
        <x:v>274</x:v>
      </x:c>
      <x:c r="G62" s="41"/>
      <x:c r="H62" s="40" t="s">
        <x:v>19</x:v>
      </x:c>
      <x:c r="I62" s="40" t="s">
        <x:v>78</x:v>
      </x:c>
      <x:c r="J62" s="41" t="s">
        <x:v>193</x:v>
      </x:c>
      <x:c r="K62" s="42" t="n">
        <x:v>0.5</x:v>
      </x:c>
      <x:c r="L62" s="40" t="s">
        <x:v>21</x:v>
      </x:c>
      <x:c r="M62" s="41" t="s">
        <x:v>278</x:v>
      </x:c>
      <x:c r="N62" s="41"/>
    </x:row>
    <x:row r="63" ht="23.850000381469727" hidden="0">
      <x:c r="A63" s="39" t="s">
        <x:v>230</x:v>
      </x:c>
      <x:c r="B63" s="40" t="n">
        <x:v>5</x:v>
      </x:c>
      <x:c r="C63" s="40" t="s">
        <x:v>279</x:v>
      </x:c>
      <x:c r="D63" s="41" t="s">
        <x:v>134</x:v>
      </x:c>
      <x:c r="E63" s="41" t="s">
        <x:v>280</x:v>
      </x:c>
      <x:c r="F63" s="40" t="s">
        <x:v>281</x:v>
      </x:c>
      <x:c r="G63" s="41"/>
      <x:c r="H63" s="40" t="s">
        <x:v>19</x:v>
      </x:c>
      <x:c r="I63" s="40" t="s">
        <x:v>63</x:v>
      </x:c>
      <x:c r="J63" s="41" t="s">
        <x:v>234</x:v>
      </x:c>
      <x:c r="K63" s="42" t="n">
        <x:v>0.5</x:v>
      </x:c>
      <x:c r="L63" s="40" t="s">
        <x:v>21</x:v>
      </x:c>
      <x:c r="M63" s="41" t="s">
        <x:v>282</x:v>
      </x:c>
      <x:c r="N63" s="41"/>
    </x:row>
    <x:row r="64" ht="23.850000381469727" hidden="0">
      <x:c r="A64" s="43" t="s">
        <x:v>283</x:v>
      </x:c>
      <x:c r="B64" s="44" t="n">
        <x:v>6</x:v>
      </x:c>
      <x:c r="C64" s="44" t="s">
        <x:v>284</x:v>
      </x:c>
      <x:c r="D64" s="45" t="s">
        <x:v>175</x:v>
      </x:c>
      <x:c r="E64" s="45" t="s">
        <x:v>285</x:v>
      </x:c>
      <x:c r="F64" s="44" t="s">
        <x:v>286</x:v>
      </x:c>
      <x:c r="G64" s="45"/>
      <x:c r="H64" s="44" t="s">
        <x:v>19</x:v>
      </x:c>
      <x:c r="I64" s="44" t="s">
        <x:v>20</x:v>
      </x:c>
      <x:c r="J64" s="45" t="s">
        <x:v>287</x:v>
      </x:c>
      <x:c r="K64" s="46" t="n">
        <x:v>1</x:v>
      </x:c>
      <x:c r="L64" s="44" t="s">
        <x:v>21</x:v>
      </x:c>
      <x:c r="M64" s="45" t="s">
        <x:v>288</x:v>
      </x:c>
      <x:c r="N64" s="45"/>
    </x:row>
    <x:row r="65" ht="23.850000381469727" hidden="0">
      <x:c r="A65" s="47" t="s">
        <x:v>283</x:v>
      </x:c>
      <x:c r="B65" s="48" t="n">
        <x:v>6</x:v>
      </x:c>
      <x:c r="C65" s="48" t="s">
        <x:v>289</x:v>
      </x:c>
      <x:c r="D65" s="49" t="s">
        <x:v>31</x:v>
      </x:c>
      <x:c r="E65" s="49" t="s">
        <x:v>290</x:v>
      </x:c>
      <x:c r="F65" s="48" t="s">
        <x:v>291</x:v>
      </x:c>
      <x:c r="G65" s="49"/>
      <x:c r="H65" s="48" t="s">
        <x:v>19</x:v>
      </x:c>
      <x:c r="I65" s="48" t="s">
        <x:v>78</x:v>
      </x:c>
      <x:c r="J65" s="49" t="s">
        <x:v>15</x:v>
      </x:c>
      <x:c r="K65" s="50" t="n">
        <x:v>1</x:v>
      </x:c>
      <x:c r="L65" s="48" t="s">
        <x:v>27</x:v>
      </x:c>
      <x:c r="M65" s="49" t="s">
        <x:v>292</x:v>
      </x:c>
      <x:c r="N65" s="49"/>
    </x:row>
    <x:row r="66" ht="23.850000381469727" hidden="0">
      <x:c r="A66" s="47" t="s">
        <x:v>283</x:v>
      </x:c>
      <x:c r="B66" s="48" t="n">
        <x:v>6</x:v>
      </x:c>
      <x:c r="C66" s="48" t="s">
        <x:v>293</x:v>
      </x:c>
      <x:c r="D66" s="49" t="s">
        <x:v>175</x:v>
      </x:c>
      <x:c r="E66" s="49" t="s">
        <x:v>294</x:v>
      </x:c>
      <x:c r="F66" s="48" t="s">
        <x:v>295</x:v>
      </x:c>
      <x:c r="G66" s="49"/>
      <x:c r="H66" s="48" t="s">
        <x:v>19</x:v>
      </x:c>
      <x:c r="I66" s="48" t="s">
        <x:v>78</x:v>
      </x:c>
      <x:c r="J66" s="49"/>
      <x:c r="K66" s="50" t="n">
        <x:v>1</x:v>
      </x:c>
      <x:c r="L66" s="48" t="s">
        <x:v>27</x:v>
      </x:c>
      <x:c r="M66" s="49" t="s">
        <x:v>296</x:v>
      </x:c>
      <x:c r="N66" s="49"/>
    </x:row>
    <x:row r="67" ht="15" hidden="0">
      <x:c r="A67" s="47" t="s">
        <x:v>283</x:v>
      </x:c>
      <x:c r="B67" s="48" t="n">
        <x:v>6</x:v>
      </x:c>
      <x:c r="C67" s="48" t="s">
        <x:v>297</x:v>
      </x:c>
      <x:c r="D67" s="49" t="s">
        <x:v>298</x:v>
      </x:c>
      <x:c r="E67" s="49" t="s">
        <x:v>299</x:v>
      </x:c>
      <x:c r="F67" s="48" t="s">
        <x:v>300</x:v>
      </x:c>
      <x:c r="G67" s="49"/>
      <x:c r="H67" s="48" t="s">
        <x:v>19</x:v>
      </x:c>
      <x:c r="I67" s="48" t="s">
        <x:v>78</x:v>
      </x:c>
      <x:c r="J67" s="49"/>
      <x:c r="K67" s="50" t="n">
        <x:v>1</x:v>
      </x:c>
      <x:c r="L67" s="48" t="s">
        <x:v>21</x:v>
      </x:c>
      <x:c r="M67" s="49" t="s">
        <x:v>301</x:v>
      </x:c>
      <x:c r="N67" s="49"/>
    </x:row>
    <x:row r="68" ht="15" hidden="0">
      <x:c r="A68" s="47" t="s">
        <x:v>283</x:v>
      </x:c>
      <x:c r="B68" s="48" t="n">
        <x:v>6</x:v>
      </x:c>
      <x:c r="C68" s="48" t="s">
        <x:v>302</x:v>
      </x:c>
      <x:c r="D68" s="49" t="s">
        <x:v>298</x:v>
      </x:c>
      <x:c r="E68" s="49" t="s">
        <x:v>303</x:v>
      </x:c>
      <x:c r="F68" s="48" t="s">
        <x:v>118</x:v>
      </x:c>
      <x:c r="G68" s="49"/>
      <x:c r="H68" s="48" t="s">
        <x:v>19</x:v>
      </x:c>
      <x:c r="I68" s="48" t="s">
        <x:v>78</x:v>
      </x:c>
      <x:c r="J68" s="49" t="s">
        <x:v>88</x:v>
      </x:c>
      <x:c r="K68" s="50" t="n">
        <x:v>0.5</x:v>
      </x:c>
      <x:c r="L68" s="48" t="s">
        <x:v>21</x:v>
      </x:c>
      <x:c r="M68" s="49" t="s">
        <x:v>304</x:v>
      </x:c>
      <x:c r="N68" s="49"/>
    </x:row>
    <x:row r="69" ht="23.850000381469727" hidden="0">
      <x:c r="A69" s="47" t="s">
        <x:v>283</x:v>
      </x:c>
      <x:c r="B69" s="48" t="n">
        <x:v>6</x:v>
      </x:c>
      <x:c r="C69" s="48" t="s">
        <x:v>305</x:v>
      </x:c>
      <x:c r="D69" s="49" t="s">
        <x:v>207</x:v>
      </x:c>
      <x:c r="E69" s="49" t="s">
        <x:v>306</x:v>
      </x:c>
      <x:c r="F69" s="48" t="s">
        <x:v>307</x:v>
      </x:c>
      <x:c r="G69" s="49"/>
      <x:c r="H69" s="48" t="s">
        <x:v>19</x:v>
      </x:c>
      <x:c r="I69" s="48" t="s">
        <x:v>63</x:v>
      </x:c>
      <x:c r="J69" s="49" t="s">
        <x:v>88</x:v>
      </x:c>
      <x:c r="K69" s="50" t="n">
        <x:v>1</x:v>
      </x:c>
      <x:c r="L69" s="48" t="s">
        <x:v>21</x:v>
      </x:c>
      <x:c r="M69" s="49" t="s">
        <x:v>308</x:v>
      </x:c>
      <x:c r="N69" s="49"/>
    </x:row>
    <x:row r="70" ht="15" hidden="0">
      <x:c r="A70" s="47" t="s">
        <x:v>283</x:v>
      </x:c>
      <x:c r="B70" s="48" t="n">
        <x:v>6</x:v>
      </x:c>
      <x:c r="C70" s="48" t="s">
        <x:v>309</x:v>
      </x:c>
      <x:c r="D70" s="49" t="s">
        <x:v>207</x:v>
      </x:c>
      <x:c r="E70" s="49" t="s">
        <x:v>310</x:v>
      </x:c>
      <x:c r="F70" s="48" t="s">
        <x:v>307</x:v>
      </x:c>
      <x:c r="G70" s="49"/>
      <x:c r="H70" s="48" t="s">
        <x:v>19</x:v>
      </x:c>
      <x:c r="I70" s="48" t="s">
        <x:v>63</x:v>
      </x:c>
      <x:c r="J70" s="49" t="s">
        <x:v>305</x:v>
      </x:c>
      <x:c r="K70" s="50" t="n">
        <x:v>2</x:v>
      </x:c>
      <x:c r="L70" s="48" t="s">
        <x:v>27</x:v>
      </x:c>
      <x:c r="M70" s="49" t="s">
        <x:v>311</x:v>
      </x:c>
      <x:c r="N70" s="49"/>
    </x:row>
    <x:row r="71" ht="15" hidden="0">
      <x:c r="A71" s="47" t="s">
        <x:v>283</x:v>
      </x:c>
      <x:c r="B71" s="48" t="n">
        <x:v>6</x:v>
      </x:c>
      <x:c r="C71" s="48" t="s">
        <x:v>312</x:v>
      </x:c>
      <x:c r="D71" s="49" t="s">
        <x:v>207</x:v>
      </x:c>
      <x:c r="E71" s="49" t="s">
        <x:v>313</x:v>
      </x:c>
      <x:c r="F71" s="48" t="s">
        <x:v>307</x:v>
      </x:c>
      <x:c r="G71" s="49"/>
      <x:c r="H71" s="48" t="s">
        <x:v>19</x:v>
      </x:c>
      <x:c r="I71" s="48" t="s">
        <x:v>63</x:v>
      </x:c>
      <x:c r="J71" s="49" t="s">
        <x:v>314</x:v>
      </x:c>
      <x:c r="K71" s="50" t="n">
        <x:v>1</x:v>
      </x:c>
      <x:c r="L71" s="48" t="s">
        <x:v>27</x:v>
      </x:c>
      <x:c r="M71" s="49" t="s">
        <x:v>315</x:v>
      </x:c>
      <x:c r="N71" s="49"/>
    </x:row>
    <x:row r="72" ht="23.850000381469727" hidden="0">
      <x:c r="A72" s="47" t="s">
        <x:v>283</x:v>
      </x:c>
      <x:c r="B72" s="48" t="n">
        <x:v>6</x:v>
      </x:c>
      <x:c r="C72" s="48" t="s">
        <x:v>316</x:v>
      </x:c>
      <x:c r="D72" s="49" t="s">
        <x:v>264</x:v>
      </x:c>
      <x:c r="E72" s="49" t="s">
        <x:v>317</x:v>
      </x:c>
      <x:c r="F72" s="48" t="s">
        <x:v>318</x:v>
      </x:c>
      <x:c r="G72" s="49"/>
      <x:c r="H72" s="48" t="s">
        <x:v>19</x:v>
      </x:c>
      <x:c r="I72" s="48" t="s">
        <x:v>63</x:v>
      </x:c>
      <x:c r="J72" s="49" t="s">
        <x:v>319</x:v>
      </x:c>
      <x:c r="K72" s="50" t="n">
        <x:v>1</x:v>
      </x:c>
      <x:c r="L72" s="48" t="s">
        <x:v>27</x:v>
      </x:c>
      <x:c r="M72" s="49" t="s">
        <x:v>320</x:v>
      </x:c>
      <x:c r="N72" s="49"/>
    </x:row>
    <x:row r="73" ht="23.850000381469727" hidden="0">
      <x:c r="A73" s="47" t="s">
        <x:v>283</x:v>
      </x:c>
      <x:c r="B73" s="48" t="n">
        <x:v>6</x:v>
      </x:c>
      <x:c r="C73" s="48" t="s">
        <x:v>321</x:v>
      </x:c>
      <x:c r="D73" s="49" t="s">
        <x:v>264</x:v>
      </x:c>
      <x:c r="E73" s="49" t="s">
        <x:v>322</x:v>
      </x:c>
      <x:c r="F73" s="48" t="s">
        <x:v>323</x:v>
      </x:c>
      <x:c r="G73" s="49"/>
      <x:c r="H73" s="48" t="s">
        <x:v>19</x:v>
      </x:c>
      <x:c r="I73" s="48" t="s">
        <x:v>63</x:v>
      </x:c>
      <x:c r="J73" s="49" t="s">
        <x:v>316</x:v>
      </x:c>
      <x:c r="K73" s="50" t="n">
        <x:v>1</x:v>
      </x:c>
      <x:c r="L73" s="48" t="s">
        <x:v>21</x:v>
      </x:c>
      <x:c r="M73" s="49" t="s">
        <x:v>324</x:v>
      </x:c>
      <x:c r="N73" s="49"/>
    </x:row>
    <x:row r="74" ht="15" hidden="0">
      <x:c r="A74" s="47" t="s">
        <x:v>283</x:v>
      </x:c>
      <x:c r="B74" s="48" t="n">
        <x:v>6</x:v>
      </x:c>
      <x:c r="C74" s="48" t="s">
        <x:v>325</x:v>
      </x:c>
      <x:c r="D74" s="49" t="s">
        <x:v>175</x:v>
      </x:c>
      <x:c r="E74" s="49" t="s">
        <x:v>326</x:v>
      </x:c>
      <x:c r="F74" s="48" t="s">
        <x:v>274</x:v>
      </x:c>
      <x:c r="G74" s="49"/>
      <x:c r="H74" s="48" t="s">
        <x:v>19</x:v>
      </x:c>
      <x:c r="I74" s="48" t="s">
        <x:v>63</x:v>
      </x:c>
      <x:c r="J74" s="49" t="s">
        <x:v>321</x:v>
      </x:c>
      <x:c r="K74" s="50" t="n">
        <x:v>0.5</x:v>
      </x:c>
      <x:c r="L74" s="48" t="s">
        <x:v>21</x:v>
      </x:c>
      <x:c r="M74" s="49" t="s">
        <x:v>327</x:v>
      </x:c>
      <x:c r="N74" s="49"/>
    </x:row>
    <x:row r="75" ht="23.850000381469727" hidden="0">
      <x:c r="A75" s="51" t="s">
        <x:v>328</x:v>
      </x:c>
      <x:c r="B75" s="52" t="n">
        <x:v>7</x:v>
      </x:c>
      <x:c r="C75" s="52" t="s">
        <x:v>329</x:v>
      </x:c>
      <x:c r="D75" s="53" t="s">
        <x:v>175</x:v>
      </x:c>
      <x:c r="E75" s="53" t="s">
        <x:v>330</x:v>
      </x:c>
      <x:c r="F75" s="52" t="s">
        <x:v>295</x:v>
      </x:c>
      <x:c r="G75" s="53"/>
      <x:c r="H75" s="52" t="s">
        <x:v>19</x:v>
      </x:c>
      <x:c r="I75" s="52" t="s">
        <x:v>20</x:v>
      </x:c>
      <x:c r="J75" s="53" t="s">
        <x:v>331</x:v>
      </x:c>
      <x:c r="K75" s="54" t="n">
        <x:v>2</x:v>
      </x:c>
      <x:c r="L75" s="52" t="s">
        <x:v>27</x:v>
      </x:c>
      <x:c r="M75" s="53" t="s">
        <x:v>332</x:v>
      </x:c>
      <x:c r="N75" s="53"/>
    </x:row>
    <x:row r="76" ht="15" hidden="0">
      <x:c r="A76" s="55" t="s">
        <x:v>333</x:v>
      </x:c>
      <x:c r="B76" s="56" t="n">
        <x:v>8</x:v>
      </x:c>
      <x:c r="C76" s="56" t="s">
        <x:v>334</x:v>
      </x:c>
      <x:c r="D76" s="57" t="s">
        <x:v>298</x:v>
      </x:c>
      <x:c r="E76" s="57" t="s">
        <x:v>335</x:v>
      </x:c>
      <x:c r="F76" s="56" t="s">
        <x:v>336</x:v>
      </x:c>
      <x:c r="G76" s="57"/>
      <x:c r="H76" s="56" t="s">
        <x:v>19</x:v>
      </x:c>
      <x:c r="I76" s="56" t="s">
        <x:v>20</x:v>
      </x:c>
      <x:c r="J76" s="57" t="s">
        <x:v>329</x:v>
      </x:c>
      <x:c r="K76" s="58" t="n">
        <x:v>3</x:v>
      </x:c>
      <x:c r="L76" s="56" t="s">
        <x:v>21</x:v>
      </x:c>
      <x:c r="M76" s="57" t="s">
        <x:v>337</x:v>
      </x:c>
      <x:c r="N76" s="57"/>
    </x:row>
    <x:row r="77" ht="15" hidden="0">
      <x:c r="A77" s="59" t="s">
        <x:v>333</x:v>
      </x:c>
      <x:c r="B77" s="60" t="n">
        <x:v>8</x:v>
      </x:c>
      <x:c r="C77" s="60" t="s">
        <x:v>338</x:v>
      </x:c>
      <x:c r="D77" s="61" t="s">
        <x:v>298</x:v>
      </x:c>
      <x:c r="E77" s="61" t="s">
        <x:v>339</x:v>
      </x:c>
      <x:c r="F77" s="60" t="s">
        <x:v>336</x:v>
      </x:c>
      <x:c r="G77" s="61"/>
      <x:c r="H77" s="60" t="s">
        <x:v>19</x:v>
      </x:c>
      <x:c r="I77" s="60" t="s">
        <x:v>20</x:v>
      </x:c>
      <x:c r="J77" s="61" t="s">
        <x:v>284</x:v>
      </x:c>
      <x:c r="K77" s="62" t="n">
        <x:v>1</x:v>
      </x:c>
      <x:c r="L77" s="60" t="s">
        <x:v>21</x:v>
      </x:c>
      <x:c r="M77" s="61" t="s">
        <x:v>340</x:v>
      </x:c>
      <x:c r="N77" s="61"/>
    </x:row>
    <x:row r="78" ht="15" hidden="0">
      <x:c r="A78" s="59" t="s">
        <x:v>333</x:v>
      </x:c>
      <x:c r="B78" s="60" t="n">
        <x:v>8</x:v>
      </x:c>
      <x:c r="C78" s="60" t="s">
        <x:v>341</x:v>
      </x:c>
      <x:c r="D78" s="61" t="s">
        <x:v>298</x:v>
      </x:c>
      <x:c r="E78" s="61" t="s">
        <x:v>342</x:v>
      </x:c>
      <x:c r="F78" s="60" t="s">
        <x:v>336</x:v>
      </x:c>
      <x:c r="G78" s="61"/>
      <x:c r="H78" s="60" t="s">
        <x:v>19</x:v>
      </x:c>
      <x:c r="I78" s="60" t="s">
        <x:v>20</x:v>
      </x:c>
      <x:c r="J78" s="61" t="s">
        <x:v>334</x:v>
      </x:c>
      <x:c r="K78" s="62" t="n">
        <x:v>1</x:v>
      </x:c>
      <x:c r="L78" s="60" t="s">
        <x:v>21</x:v>
      </x:c>
      <x:c r="M78" s="61" t="s">
        <x:v>343</x:v>
      </x:c>
      <x:c r="N78" s="61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  <x:c r="M501"/>
      <x:c r="N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  <x:c r="M502"/>
      <x:c r="N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  <x:c r="M503"/>
      <x:c r="N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  <x:c r="M504"/>
      <x:c r="N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  <x:c r="M505"/>
      <x:c r="N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  <x:c r="M506"/>
      <x:c r="N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  <x:c r="M507"/>
      <x:c r="N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  <x:c r="M508"/>
      <x:c r="N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  <x:c r="M509"/>
      <x:c r="N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  <x:c r="M510"/>
      <x:c r="N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  <x:c r="M511"/>
      <x:c r="N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  <x:c r="M512"/>
      <x:c r="N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  <x:c r="M513"/>
      <x:c r="N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  <x:c r="M514"/>
      <x:c r="N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  <x:c r="M515"/>
      <x:c r="N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  <x:c r="M516"/>
      <x:c r="N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  <x:c r="M517"/>
      <x:c r="N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  <x:c r="M518"/>
      <x:c r="N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  <x:c r="M519"/>
      <x:c r="N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  <x:c r="M520"/>
      <x:c r="N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  <x:c r="M521"/>
      <x:c r="N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  <x:c r="M522"/>
      <x:c r="N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  <x:c r="M523"/>
      <x:c r="N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  <x:c r="M524"/>
      <x:c r="N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  <x:c r="M525"/>
      <x:c r="N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  <x:c r="M526"/>
      <x:c r="N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  <x:c r="M527"/>
      <x:c r="N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  <x:c r="M528"/>
      <x:c r="N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  <x:c r="M529"/>
      <x:c r="N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  <x:c r="M530"/>
      <x:c r="N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  <x:c r="M531"/>
      <x:c r="N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  <x:c r="M532"/>
      <x:c r="N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  <x:c r="M533"/>
      <x:c r="N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  <x:c r="M534"/>
      <x:c r="N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  <x:c r="M535"/>
      <x:c r="N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  <x:c r="M536"/>
      <x:c r="N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  <x:c r="M537"/>
      <x:c r="N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  <x:c r="M538"/>
      <x:c r="N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  <x:c r="M539"/>
      <x:c r="N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  <x:c r="M540"/>
      <x:c r="N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  <x:c r="M541"/>
      <x:c r="N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  <x:c r="M542"/>
      <x:c r="N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  <x:c r="M543"/>
      <x:c r="N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  <x:c r="M544"/>
      <x:c r="N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  <x:c r="M545"/>
      <x:c r="N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  <x:c r="M546"/>
      <x:c r="N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  <x:c r="M547"/>
      <x:c r="N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  <x:c r="M548"/>
      <x:c r="N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  <x:c r="M549"/>
      <x:c r="N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  <x:c r="M550"/>
      <x:c r="N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  <x:c r="M553"/>
      <x:c r="N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  <x:c r="M554"/>
      <x:c r="N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  <x:c r="M555"/>
      <x:c r="N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  <x:c r="M558"/>
      <x:c r="N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  <x:c r="M559"/>
      <x:c r="N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  <x:c r="M560"/>
      <x:c r="N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  <x:c r="M561"/>
      <x:c r="N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  <x:c r="M562"/>
      <x:c r="N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  <x:c r="M563"/>
      <x:c r="N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  <x:c r="M564"/>
      <x:c r="N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  <x:c r="M565"/>
      <x:c r="N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  <x:c r="M566"/>
      <x:c r="N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  <x:c r="M567"/>
      <x:c r="N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  <x:c r="M568"/>
      <x:c r="N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  <x:c r="M569"/>
      <x:c r="N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  <x:c r="M570"/>
      <x:c r="N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  <x:c r="M571"/>
      <x:c r="N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  <x:c r="M572"/>
      <x:c r="N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  <x:c r="M573"/>
      <x:c r="N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  <x:c r="M574"/>
      <x:c r="N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  <x:c r="M575"/>
      <x:c r="N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  <x:c r="M576"/>
      <x:c r="N576"/>
    </x:row>
  </x:sheetData>
  <x:conditionalFormatting sqref="H2:H78">
    <x:cfRule type="cellIs" dxfId="19" priority="2" aboveAverage="0" percent="0" bottom="0" operator="equal" rank="0" equalAverage="0">
      <x:formula>"Done"</x:formula>
    </x:cfRule>
    <x:cfRule type="cellIs" dxfId="20" priority="3" aboveAverage="0" percent="0" bottom="0" operator="equal" rank="0" equalAverage="0">
      <x:formula>"Doing"</x:formula>
    </x:cfRule>
    <x:cfRule type="cellIs" dxfId="21" priority="4" aboveAverage="0" percent="0" bottom="0" operator="equal" rank="0" equalAverage="0">
      <x:formula>"Blocked"</x:formula>
    </x:cfRule>
  </x:conditionalFormatting>
  <x:conditionalFormatting sqref="I2:I78">
    <x:cfRule type="cellIs" dxfId="22" priority="5" aboveAverage="0" percent="0" bottom="0" operator="equal" rank="0" equalAverage="0">
      <x:formula>"P0"</x:formula>
    </x:cfRule>
    <x:cfRule type="cellIs" dxfId="23" priority="6" aboveAverage="0" percent="0" bottom="0" operator="equal" rank="0" equalAverage="0">
      <x:formula>"P2"</x:formula>
    </x:cfRule>
  </x:conditionalFormatting>
  <x:conditionalFormatting sqref="L2:L78">
    <x:cfRule type="cellIs" dxfId="24" priority="7" aboveAverage="0" percent="0" bottom="0" operator="equal" rank="0" equalAverage="0">
      <x:formula>"Yes"</x:formula>
    </x:cfRule>
  </x:conditionalFormatting>
  <x:dataValidations count="6">
    <x:dataValidation type="list" errorStyle="stop" operator="between" allowBlank="0" showDropDown="0" showInputMessage="0" showErrorMessage="0" sqref="H2:H400">
      <x:formula1>"To do,Doing,Blocked,Done"</x:formula1>
      <x:formula2>0</x:formula2>
    </x:dataValidation>
    <x:dataValidation type="list" errorStyle="stop" operator="between" allowBlank="0" showDropDown="0" showInputMessage="0" showErrorMessage="0" sqref="I2:I400">
      <x:formula1>"P0,P1,P2"</x:formula1>
      <x:formula2>0</x:formula2>
    </x:dataValidation>
    <x:dataValidation type="list" errorStyle="stop" operator="between" allowBlank="0" showDropDown="0" showInputMessage="0" showErrorMessage="0" sqref="L2:L400">
      <x:formula1>"Yes,No"</x:formula1>
      <x:formula2>0</x:formula2>
    </x:dataValidation>
    <x:dataValidation type="list" errorStyle="stop" operator="between" allowBlank="1" showDropDown="0" showInputMessage="0" showErrorMessage="0" sqref="D2:D400">
      <x:formula1>"Infrastructure,Engine,Data,API,LINE,Client,OCR,Explanation,Privacy,Verification,Documentation"</x:formula1>
      <x:formula2>0</x:formula2>
    </x:dataValidation>
    <x:dataValidation type="list" errorStyle="stop" operator="between" allowBlank="0" showDropDown="0" showInputMessage="0" showErrorMessage="0" sqref="A2:A400">
      <x:formula1>"Sep W1,Sep W2,Sep W3,Sep W4,Oct W1,Oct W2,Oct W3,Oct W4"</x:formula1>
      <x:formula2>0</x:formula2>
    </x:dataValidation>
    <x:dataValidation type="list" errorStyle="stop" operator="between" allowBlank="1" showDropDown="0" showInputMessage="0" showErrorMessage="0" sqref="G2:G400">
      <x:formula1>People!$A$2:$A$15</x:formula1>
      <x:formula2>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2" hidden="0" customWidth="1"/>
    <x:col min="2" max="9" width="11" hidden="0" customWidth="1"/>
  </x:cols>
  <x:sheetData>
    <x:row r="1" ht="17.149999618530273" hidden="0">
      <x:c r="A1" s="63" t="s">
        <x:v>344</x:v>
      </x:c>
    </x:row>
    <x:row r="2" ht="15" hidden="0">
      <x:c r="A2" s="64" t="s">
        <x:v>345</x:v>
      </x:c>
    </x:row>
    <x:row r="4" ht="15" hidden="0">
      <x:c r="A4" s="65" t="s">
        <x:v>346</x:v>
      </x:c>
    </x:row>
    <x:row r="5" ht="15" hidden="0">
      <x:c r="A5" s="66"/>
      <x:c r="B5" s="66" t="s">
        <x:v>347</x:v>
      </x:c>
      <x:c r="C5" s="66" t="s">
        <x:v>19</x:v>
      </x:c>
      <x:c r="D5" s="66" t="s">
        <x:v>348</x:v>
      </x:c>
      <x:c r="E5" s="66" t="s">
        <x:v>349</x:v>
      </x:c>
      <x:c r="F5" s="66" t="s">
        <x:v>350</x:v>
      </x:c>
      <x:c r="G5" s="66" t="s">
        <x:v>351</x:v>
      </x:c>
      <x:c r="H5" s="66" t="s">
        <x:v>352</x:v>
      </x:c>
      <x:c r="I5" s="66" t="s">
        <x:v>353</x:v>
      </x:c>
    </x:row>
    <x:row r="6" ht="15" hidden="0">
      <x:c r="A6" s="66" t="s">
        <x:v>14</x:v>
      </x:c>
      <x:c r="B6" s="67" t="n">
        <x:f aca="0">COUNTIF(Tasks!$A:$A,$A6)</x:f>
        <x:v>9</x:v>
      </x:c>
      <x:c r="C6" s="67" t="n">
        <x:f aca="0">COUNTIFS(Tasks!$A:$A,$A6,Tasks!$H:$H,"To do")</x:f>
        <x:v>9</x:v>
      </x:c>
      <x:c r="D6" s="67" t="n">
        <x:f aca="0">COUNTIFS(Tasks!$A:$A,$A6,Tasks!$H:$H,"Doing")</x:f>
        <x:v>0</x:v>
      </x:c>
      <x:c r="E6" s="67" t="n">
        <x:f aca="0">COUNTIFS(Tasks!$A:$A,$A6,Tasks!$H:$H,"Blocked")</x:f>
        <x:v>0</x:v>
      </x:c>
      <x:c r="F6" s="67" t="n">
        <x:f aca="0">COUNTIFS(Tasks!$A:$A,$A6,Tasks!$H:$H,"Done")</x:f>
        <x:v>0</x:v>
      </x:c>
      <x:c r="G6" s="68" t="n">
        <x:f aca="0">IFERROR(F6/B6,0)</x:f>
        <x:v>0</x:v>
      </x:c>
      <x:c r="H6" s="69" t="n">
        <x:f aca="0">SUMIF(Tasks!$A:$A,$A6,Tasks!$K:$K)</x:f>
        <x:v>7.75</x:v>
      </x:c>
      <x:c r="I6" s="69" t="n">
        <x:f aca="0">SUMIFS(Tasks!$K:$K,Tasks!$A:$A,$A6,Tasks!$H:$H,"&lt;&gt;Done")</x:f>
        <x:v>7.75</x:v>
      </x:c>
    </x:row>
    <x:row r="7" ht="15" hidden="0">
      <x:c r="A7" s="70" t="s">
        <x:v>23</x:v>
      </x:c>
      <x:c r="B7" s="67" t="n">
        <x:f aca="0">COUNTIF(Tasks!$A:$A,$A7)</x:f>
        <x:v>10</x:v>
      </x:c>
      <x:c r="C7" s="67" t="n">
        <x:f aca="0">COUNTIFS(Tasks!$A:$A,$A7,Tasks!$H:$H,"To do")</x:f>
        <x:v>10</x:v>
      </x:c>
      <x:c r="D7" s="67" t="n">
        <x:f aca="0">COUNTIFS(Tasks!$A:$A,$A7,Tasks!$H:$H,"Doing")</x:f>
        <x:v>0</x:v>
      </x:c>
      <x:c r="E7" s="67" t="n">
        <x:f aca="0">COUNTIFS(Tasks!$A:$A,$A7,Tasks!$H:$H,"Blocked")</x:f>
        <x:v>0</x:v>
      </x:c>
      <x:c r="F7" s="67" t="n">
        <x:f aca="0">COUNTIFS(Tasks!$A:$A,$A7,Tasks!$H:$H,"Done")</x:f>
        <x:v>0</x:v>
      </x:c>
      <x:c r="G7" s="68" t="n">
        <x:f aca="0">IFERROR(F7/B7,0)</x:f>
        <x:v>0</x:v>
      </x:c>
      <x:c r="H7" s="69" t="n">
        <x:f aca="0">SUMIF(Tasks!$A:$A,$A7,Tasks!$K:$K)</x:f>
        <x:v>8</x:v>
      </x:c>
      <x:c r="I7" s="69" t="n">
        <x:f aca="0">SUMIFS(Tasks!$K:$K,Tasks!$A:$A,$A7,Tasks!$H:$H,"&lt;&gt;Done")</x:f>
        <x:v>8</x:v>
      </x:c>
    </x:row>
    <x:row r="8" ht="15" hidden="0">
      <x:c r="A8" s="71" t="s">
        <x:v>29</x:v>
      </x:c>
      <x:c r="B8" s="67" t="n">
        <x:f aca="0">COUNTIF(Tasks!$A:$A,$A8)</x:f>
        <x:v>19</x:v>
      </x:c>
      <x:c r="C8" s="67" t="n">
        <x:f aca="0">COUNTIFS(Tasks!$A:$A,$A8,Tasks!$H:$H,"To do")</x:f>
        <x:v>19</x:v>
      </x:c>
      <x:c r="D8" s="67" t="n">
        <x:f aca="0">COUNTIFS(Tasks!$A:$A,$A8,Tasks!$H:$H,"Doing")</x:f>
        <x:v>0</x:v>
      </x:c>
      <x:c r="E8" s="67" t="n">
        <x:f aca="0">COUNTIFS(Tasks!$A:$A,$A8,Tasks!$H:$H,"Blocked")</x:f>
        <x:v>0</x:v>
      </x:c>
      <x:c r="F8" s="67" t="n">
        <x:f aca="0">COUNTIFS(Tasks!$A:$A,$A8,Tasks!$H:$H,"Done")</x:f>
        <x:v>0</x:v>
      </x:c>
      <x:c r="G8" s="68" t="n">
        <x:f aca="0">IFERROR(F8/B8,0)</x:f>
        <x:v>0</x:v>
      </x:c>
      <x:c r="H8" s="69" t="n">
        <x:f aca="0">SUMIF(Tasks!$A:$A,$A8,Tasks!$K:$K)</x:f>
        <x:v>16.5</x:v>
      </x:c>
      <x:c r="I8" s="69" t="n">
        <x:f aca="0">SUMIFS(Tasks!$K:$K,Tasks!$A:$A,$A8,Tasks!$H:$H,"&lt;&gt;Done")</x:f>
        <x:v>16.5</x:v>
      </x:c>
    </x:row>
    <x:row r="9" ht="15" hidden="0">
      <x:c r="A9" s="72" t="s">
        <x:v>183</x:v>
      </x:c>
      <x:c r="B9" s="67" t="n">
        <x:f aca="0">COUNTIF(Tasks!$A:$A,$A9)</x:f>
        <x:v>11</x:v>
      </x:c>
      <x:c r="C9" s="67" t="n">
        <x:f aca="0">COUNTIFS(Tasks!$A:$A,$A9,Tasks!$H:$H,"To do")</x:f>
        <x:v>11</x:v>
      </x:c>
      <x:c r="D9" s="67" t="n">
        <x:f aca="0">COUNTIFS(Tasks!$A:$A,$A9,Tasks!$H:$H,"Doing")</x:f>
        <x:v>0</x:v>
      </x:c>
      <x:c r="E9" s="67" t="n">
        <x:f aca="0">COUNTIFS(Tasks!$A:$A,$A9,Tasks!$H:$H,"Blocked")</x:f>
        <x:v>0</x:v>
      </x:c>
      <x:c r="F9" s="67" t="n">
        <x:f aca="0">COUNTIFS(Tasks!$A:$A,$A9,Tasks!$H:$H,"Done")</x:f>
        <x:v>0</x:v>
      </x:c>
      <x:c r="G9" s="68" t="n">
        <x:f aca="0">IFERROR(F9/B9,0)</x:f>
        <x:v>0</x:v>
      </x:c>
      <x:c r="H9" s="69" t="n">
        <x:f aca="0">SUMIF(Tasks!$A:$A,$A9,Tasks!$K:$K)</x:f>
        <x:v>12</x:v>
      </x:c>
      <x:c r="I9" s="69" t="n">
        <x:f aca="0">SUMIFS(Tasks!$K:$K,Tasks!$A:$A,$A9,Tasks!$H:$H,"&lt;&gt;Done")</x:f>
        <x:v>12</x:v>
      </x:c>
    </x:row>
    <x:row r="10" ht="15" hidden="0">
      <x:c r="A10" s="73" t="s">
        <x:v>230</x:v>
      </x:c>
      <x:c r="B10" s="67" t="n">
        <x:f aca="0">COUNTIF(Tasks!$A:$A,$A10)</x:f>
        <x:v>13</x:v>
      </x:c>
      <x:c r="C10" s="67" t="n">
        <x:f aca="0">COUNTIFS(Tasks!$A:$A,$A10,Tasks!$H:$H,"To do")</x:f>
        <x:v>13</x:v>
      </x:c>
      <x:c r="D10" s="67" t="n">
        <x:f aca="0">COUNTIFS(Tasks!$A:$A,$A10,Tasks!$H:$H,"Doing")</x:f>
        <x:v>0</x:v>
      </x:c>
      <x:c r="E10" s="67" t="n">
        <x:f aca="0">COUNTIFS(Tasks!$A:$A,$A10,Tasks!$H:$H,"Blocked")</x:f>
        <x:v>0</x:v>
      </x:c>
      <x:c r="F10" s="67" t="n">
        <x:f aca="0">COUNTIFS(Tasks!$A:$A,$A10,Tasks!$H:$H,"Done")</x:f>
        <x:v>0</x:v>
      </x:c>
      <x:c r="G10" s="68" t="n">
        <x:f aca="0">IFERROR(F10/B10,0)</x:f>
        <x:v>0</x:v>
      </x:c>
      <x:c r="H10" s="69" t="n">
        <x:f aca="0">SUMIF(Tasks!$A:$A,$A10,Tasks!$K:$K)</x:f>
        <x:v>11.5</x:v>
      </x:c>
      <x:c r="I10" s="69" t="n">
        <x:f aca="0">SUMIFS(Tasks!$K:$K,Tasks!$A:$A,$A10,Tasks!$H:$H,"&lt;&gt;Done")</x:f>
        <x:v>11.5</x:v>
      </x:c>
    </x:row>
    <x:row r="11" ht="15" hidden="0">
      <x:c r="A11" s="74" t="s">
        <x:v>283</x:v>
      </x:c>
      <x:c r="B11" s="67" t="n">
        <x:f aca="0">COUNTIF(Tasks!$A:$A,$A11)</x:f>
        <x:v>11</x:v>
      </x:c>
      <x:c r="C11" s="67" t="n">
        <x:f aca="0">COUNTIFS(Tasks!$A:$A,$A11,Tasks!$H:$H,"To do")</x:f>
        <x:v>11</x:v>
      </x:c>
      <x:c r="D11" s="67" t="n">
        <x:f aca="0">COUNTIFS(Tasks!$A:$A,$A11,Tasks!$H:$H,"Doing")</x:f>
        <x:v>0</x:v>
      </x:c>
      <x:c r="E11" s="67" t="n">
        <x:f aca="0">COUNTIFS(Tasks!$A:$A,$A11,Tasks!$H:$H,"Blocked")</x:f>
        <x:v>0</x:v>
      </x:c>
      <x:c r="F11" s="67" t="n">
        <x:f aca="0">COUNTIFS(Tasks!$A:$A,$A11,Tasks!$H:$H,"Done")</x:f>
        <x:v>0</x:v>
      </x:c>
      <x:c r="G11" s="68" t="n">
        <x:f aca="0">IFERROR(F11/B11,0)</x:f>
        <x:v>0</x:v>
      </x:c>
      <x:c r="H11" s="69" t="n">
        <x:f aca="0">SUMIF(Tasks!$A:$A,$A11,Tasks!$K:$K)</x:f>
        <x:v>11</x:v>
      </x:c>
      <x:c r="I11" s="69" t="n">
        <x:f aca="0">SUMIFS(Tasks!$K:$K,Tasks!$A:$A,$A11,Tasks!$H:$H,"&lt;&gt;Done")</x:f>
        <x:v>11</x:v>
      </x:c>
    </x:row>
    <x:row r="12" ht="15" hidden="0">
      <x:c r="A12" s="75" t="s">
        <x:v>328</x:v>
      </x:c>
      <x:c r="B12" s="67" t="n">
        <x:f aca="0">COUNTIF(Tasks!$A:$A,$A12)</x:f>
        <x:v>1</x:v>
      </x:c>
      <x:c r="C12" s="67" t="n">
        <x:f aca="0">COUNTIFS(Tasks!$A:$A,$A12,Tasks!$H:$H,"To do")</x:f>
        <x:v>1</x:v>
      </x:c>
      <x:c r="D12" s="67" t="n">
        <x:f aca="0">COUNTIFS(Tasks!$A:$A,$A12,Tasks!$H:$H,"Doing")</x:f>
        <x:v>0</x:v>
      </x:c>
      <x:c r="E12" s="67" t="n">
        <x:f aca="0">COUNTIFS(Tasks!$A:$A,$A12,Tasks!$H:$H,"Blocked")</x:f>
        <x:v>0</x:v>
      </x:c>
      <x:c r="F12" s="67" t="n">
        <x:f aca="0">COUNTIFS(Tasks!$A:$A,$A12,Tasks!$H:$H,"Done")</x:f>
        <x:v>0</x:v>
      </x:c>
      <x:c r="G12" s="68" t="n">
        <x:f aca="0">IFERROR(F12/B12,0)</x:f>
        <x:v>0</x:v>
      </x:c>
      <x:c r="H12" s="69" t="n">
        <x:f aca="0">SUMIF(Tasks!$A:$A,$A12,Tasks!$K:$K)</x:f>
        <x:v>2</x:v>
      </x:c>
      <x:c r="I12" s="69" t="n">
        <x:f aca="0">SUMIFS(Tasks!$K:$K,Tasks!$A:$A,$A12,Tasks!$H:$H,"&lt;&gt;Done")</x:f>
        <x:v>2</x:v>
      </x:c>
    </x:row>
    <x:row r="13" ht="15" hidden="0">
      <x:c r="A13" s="76" t="s">
        <x:v>333</x:v>
      </x:c>
      <x:c r="B13" s="67" t="n">
        <x:f aca="0">COUNTIF(Tasks!$A:$A,$A13)</x:f>
        <x:v>3</x:v>
      </x:c>
      <x:c r="C13" s="67" t="n">
        <x:f aca="0">COUNTIFS(Tasks!$A:$A,$A13,Tasks!$H:$H,"To do")</x:f>
        <x:v>3</x:v>
      </x:c>
      <x:c r="D13" s="67" t="n">
        <x:f aca="0">COUNTIFS(Tasks!$A:$A,$A13,Tasks!$H:$H,"Doing")</x:f>
        <x:v>0</x:v>
      </x:c>
      <x:c r="E13" s="67" t="n">
        <x:f aca="0">COUNTIFS(Tasks!$A:$A,$A13,Tasks!$H:$H,"Blocked")</x:f>
        <x:v>0</x:v>
      </x:c>
      <x:c r="F13" s="67" t="n">
        <x:f aca="0">COUNTIFS(Tasks!$A:$A,$A13,Tasks!$H:$H,"Done")</x:f>
        <x:v>0</x:v>
      </x:c>
      <x:c r="G13" s="68" t="n">
        <x:f aca="0">IFERROR(F13/B13,0)</x:f>
        <x:v>0</x:v>
      </x:c>
      <x:c r="H13" s="69" t="n">
        <x:f aca="0">SUMIF(Tasks!$A:$A,$A13,Tasks!$K:$K)</x:f>
        <x:v>5</x:v>
      </x:c>
      <x:c r="I13" s="69" t="n">
        <x:f aca="0">SUMIFS(Tasks!$K:$K,Tasks!$A:$A,$A13,Tasks!$H:$H,"&lt;&gt;Done")</x:f>
        <x:v>5</x:v>
      </x:c>
    </x:row>
    <x:row r="14" ht="15" hidden="0">
      <x:c r="A14" s="77" t="s">
        <x:v>347</x:v>
      </x:c>
      <x:c r="B14" s="77" t="n">
        <x:f aca="0">SUM(B6:B13)</x:f>
        <x:v>77</x:v>
      </x:c>
      <x:c r="C14" s="77" t="n">
        <x:f aca="0">SUM(C6:C13)</x:f>
        <x:v>77</x:v>
      </x:c>
      <x:c r="D14" s="77" t="n">
        <x:f aca="0">SUM(D6:D13)</x:f>
        <x:v>0</x:v>
      </x:c>
      <x:c r="E14" s="77" t="n">
        <x:f aca="0">SUM(E6:E13)</x:f>
        <x:v>0</x:v>
      </x:c>
      <x:c r="F14" s="77" t="n">
        <x:f aca="0">SUM(F6:F13)</x:f>
        <x:v>0</x:v>
      </x:c>
      <x:c r="G14" s="78" t="n">
        <x:f aca="0">IFERROR(F14/B14,0)</x:f>
        <x:v>0</x:v>
      </x:c>
      <x:c r="H14" s="79" t="n">
        <x:f aca="0">SUM(H6:H13)</x:f>
        <x:v>73.75</x:v>
      </x:c>
      <x:c r="I14" s="79" t="n">
        <x:f aca="0">SUM(I6:I13)</x:f>
        <x:v>73.75</x:v>
      </x:c>
    </x:row>
    <x:row r="16" ht="15" hidden="0">
      <x:c r="A16" s="65" t="s">
        <x:v>354</x:v>
      </x:c>
    </x:row>
    <x:row r="17" ht="15" hidden="0">
      <x:c r="A17" s="66"/>
      <x:c r="B17" s="66" t="s">
        <x:v>347</x:v>
      </x:c>
      <x:c r="C17" s="66" t="s">
        <x:v>19</x:v>
      </x:c>
      <x:c r="D17" s="66" t="s">
        <x:v>348</x:v>
      </x:c>
      <x:c r="E17" s="66" t="s">
        <x:v>349</x:v>
      </x:c>
      <x:c r="F17" s="66" t="s">
        <x:v>350</x:v>
      </x:c>
      <x:c r="G17" s="66" t="s">
        <x:v>351</x:v>
      </x:c>
      <x:c r="H17" s="66" t="s">
        <x:v>352</x:v>
      </x:c>
      <x:c r="I17" s="66" t="s">
        <x:v>353</x:v>
      </x:c>
    </x:row>
    <x:row r="18" ht="15" hidden="0">
      <x:c r="A18" s="67" t="s">
        <x:v>20</x:v>
      </x:c>
      <x:c r="B18" s="67" t="n">
        <x:f aca="0">COUNTIF(Tasks!$I:$I,$A18)</x:f>
        <x:v>43</x:v>
      </x:c>
      <x:c r="C18" s="67" t="n">
        <x:f aca="0">COUNTIFS(Tasks!$I:$I,$A18,Tasks!$H:$H,"To do")</x:f>
        <x:v>43</x:v>
      </x:c>
      <x:c r="D18" s="67" t="n">
        <x:f aca="0">COUNTIFS(Tasks!$I:$I,$A18,Tasks!$H:$H,"Doing")</x:f>
        <x:v>0</x:v>
      </x:c>
      <x:c r="E18" s="67" t="n">
        <x:f aca="0">COUNTIFS(Tasks!$I:$I,$A18,Tasks!$H:$H,"Blocked")</x:f>
        <x:v>0</x:v>
      </x:c>
      <x:c r="F18" s="67" t="n">
        <x:f aca="0">COUNTIFS(Tasks!$I:$I,$A18,Tasks!$H:$H,"Done")</x:f>
        <x:v>0</x:v>
      </x:c>
      <x:c r="G18" s="68" t="n">
        <x:f aca="0">IFERROR(F18/B18,0)</x:f>
        <x:v>0</x:v>
      </x:c>
      <x:c r="H18" s="69" t="n">
        <x:f aca="0">SUMIF(Tasks!$I:$I,$A18,Tasks!$K:$K)</x:f>
        <x:v>44.5</x:v>
      </x:c>
      <x:c r="I18" s="69" t="n">
        <x:f aca="0">SUMIFS(Tasks!$K:$K,Tasks!$I:$I,$A18,Tasks!$H:$H,"&lt;&gt;Done")</x:f>
        <x:v>44.5</x:v>
      </x:c>
    </x:row>
    <x:row r="19" ht="15" hidden="0">
      <x:c r="A19" s="67" t="s">
        <x:v>78</x:v>
      </x:c>
      <x:c r="B19" s="67" t="n">
        <x:f aca="0">COUNTIF(Tasks!$I:$I,$A19)</x:f>
        <x:v>26</x:v>
      </x:c>
      <x:c r="C19" s="67" t="n">
        <x:f aca="0">COUNTIFS(Tasks!$I:$I,$A19,Tasks!$H:$H,"To do")</x:f>
        <x:v>26</x:v>
      </x:c>
      <x:c r="D19" s="67" t="n">
        <x:f aca="0">COUNTIFS(Tasks!$I:$I,$A19,Tasks!$H:$H,"Doing")</x:f>
        <x:v>0</x:v>
      </x:c>
      <x:c r="E19" s="67" t="n">
        <x:f aca="0">COUNTIFS(Tasks!$I:$I,$A19,Tasks!$H:$H,"Blocked")</x:f>
        <x:v>0</x:v>
      </x:c>
      <x:c r="F19" s="67" t="n">
        <x:f aca="0">COUNTIFS(Tasks!$I:$I,$A19,Tasks!$H:$H,"Done")</x:f>
        <x:v>0</x:v>
      </x:c>
      <x:c r="G19" s="68" t="n">
        <x:f aca="0">IFERROR(F19/B19,0)</x:f>
        <x:v>0</x:v>
      </x:c>
      <x:c r="H19" s="69" t="n">
        <x:f aca="0">SUMIF(Tasks!$I:$I,$A19,Tasks!$K:$K)</x:f>
        <x:v>21.75</x:v>
      </x:c>
      <x:c r="I19" s="69" t="n">
        <x:f aca="0">SUMIFS(Tasks!$K:$K,Tasks!$I:$I,$A19,Tasks!$H:$H,"&lt;&gt;Done")</x:f>
        <x:v>21.75</x:v>
      </x:c>
    </x:row>
    <x:row r="20" ht="15" hidden="0">
      <x:c r="A20" s="67" t="s">
        <x:v>63</x:v>
      </x:c>
      <x:c r="B20" s="67" t="n">
        <x:f aca="0">COUNTIF(Tasks!$I:$I,$A20)</x:f>
        <x:v>8</x:v>
      </x:c>
      <x:c r="C20" s="67" t="n">
        <x:f aca="0">COUNTIFS(Tasks!$I:$I,$A20,Tasks!$H:$H,"To do")</x:f>
        <x:v>8</x:v>
      </x:c>
      <x:c r="D20" s="67" t="n">
        <x:f aca="0">COUNTIFS(Tasks!$I:$I,$A20,Tasks!$H:$H,"Doing")</x:f>
        <x:v>0</x:v>
      </x:c>
      <x:c r="E20" s="67" t="n">
        <x:f aca="0">COUNTIFS(Tasks!$I:$I,$A20,Tasks!$H:$H,"Blocked")</x:f>
        <x:v>0</x:v>
      </x:c>
      <x:c r="F20" s="67" t="n">
        <x:f aca="0">COUNTIFS(Tasks!$I:$I,$A20,Tasks!$H:$H,"Done")</x:f>
        <x:v>0</x:v>
      </x:c>
      <x:c r="G20" s="68" t="n">
        <x:f aca="0">IFERROR(F20/B20,0)</x:f>
        <x:v>0</x:v>
      </x:c>
      <x:c r="H20" s="69" t="n">
        <x:f aca="0">SUMIF(Tasks!$I:$I,$A20,Tasks!$K:$K)</x:f>
        <x:v>7.5</x:v>
      </x:c>
      <x:c r="I20" s="69" t="n">
        <x:f aca="0">SUMIFS(Tasks!$K:$K,Tasks!$I:$I,$A20,Tasks!$H:$H,"&lt;&gt;Done")</x:f>
        <x:v>7.5</x:v>
      </x:c>
    </x:row>
    <x:row r="21" ht="15" hidden="0">
      <x:c r="A21" s="77" t="s">
        <x:v>347</x:v>
      </x:c>
      <x:c r="B21" s="77" t="n">
        <x:f aca="0">SUM(B18:B20)</x:f>
        <x:v>77</x:v>
      </x:c>
      <x:c r="C21" s="77" t="n">
        <x:f aca="0">SUM(C18:C20)</x:f>
        <x:v>77</x:v>
      </x:c>
      <x:c r="D21" s="77" t="n">
        <x:f aca="0">SUM(D18:D20)</x:f>
        <x:v>0</x:v>
      </x:c>
      <x:c r="E21" s="77" t="n">
        <x:f aca="0">SUM(E18:E20)</x:f>
        <x:v>0</x:v>
      </x:c>
      <x:c r="F21" s="77" t="n">
        <x:f aca="0">SUM(F18:F20)</x:f>
        <x:v>0</x:v>
      </x:c>
      <x:c r="G21" s="78" t="n">
        <x:f aca="0">IFERROR(F21/B21,0)</x:f>
        <x:v>0</x:v>
      </x:c>
      <x:c r="H21" s="79" t="n">
        <x:f aca="0">SUM(H18:H20)</x:f>
        <x:v>73.75</x:v>
      </x:c>
      <x:c r="I21" s="79" t="n">
        <x:f aca="0">SUM(I18:I20)</x:f>
        <x:v>73.75</x:v>
      </x:c>
    </x:row>
    <x:row r="23" ht="15" hidden="0">
      <x:c r="A23" s="65" t="s">
        <x:v>355</x:v>
      </x:c>
    </x:row>
    <x:row r="24" ht="15" hidden="0">
      <x:c r="A24" s="66"/>
      <x:c r="B24" s="66" t="s">
        <x:v>347</x:v>
      </x:c>
      <x:c r="C24" s="66" t="s">
        <x:v>19</x:v>
      </x:c>
      <x:c r="D24" s="66" t="s">
        <x:v>348</x:v>
      </x:c>
      <x:c r="E24" s="66" t="s">
        <x:v>349</x:v>
      </x:c>
      <x:c r="F24" s="66" t="s">
        <x:v>350</x:v>
      </x:c>
      <x:c r="G24" s="66" t="s">
        <x:v>351</x:v>
      </x:c>
      <x:c r="H24" s="66" t="s">
        <x:v>352</x:v>
      </x:c>
      <x:c r="I24" s="66" t="s">
        <x:v>353</x:v>
      </x:c>
    </x:row>
    <x:row r="25" ht="15" hidden="0">
      <x:c r="A25" s="67" t="s">
        <x:v>89</x:v>
      </x:c>
      <x:c r="B25" s="67" t="n">
        <x:f aca="0">COUNTIF(Tasks!$D:$D,$A25)</x:f>
        <x:v>6</x:v>
      </x:c>
      <x:c r="C25" s="67" t="n">
        <x:f aca="0">COUNTIFS(Tasks!$D:$D,$A25,Tasks!$H:$H,"To do")</x:f>
        <x:v>6</x:v>
      </x:c>
      <x:c r="D25" s="67" t="n">
        <x:f aca="0">COUNTIFS(Tasks!$D:$D,$A25,Tasks!$H:$H,"Doing")</x:f>
        <x:v>0</x:v>
      </x:c>
      <x:c r="E25" s="67" t="n">
        <x:f aca="0">COUNTIFS(Tasks!$D:$D,$A25,Tasks!$H:$H,"Blocked")</x:f>
        <x:v>0</x:v>
      </x:c>
      <x:c r="F25" s="67" t="n">
        <x:f aca="0">COUNTIFS(Tasks!$D:$D,$A25,Tasks!$H:$H,"Done")</x:f>
        <x:v>0</x:v>
      </x:c>
      <x:c r="G25" s="68" t="n">
        <x:f aca="0">IFERROR(F25/B25,0)</x:f>
        <x:v>0</x:v>
      </x:c>
      <x:c r="H25" s="69" t="n">
        <x:f aca="0">SUMIF(Tasks!$D:$D,$A25,Tasks!$K:$K)</x:f>
        <x:v>3.75</x:v>
      </x:c>
      <x:c r="I25" s="69" t="n">
        <x:f aca="0">SUMIFS(Tasks!$K:$K,Tasks!$D:$D,$A25,Tasks!$H:$H,"&lt;&gt;Done")</x:f>
        <x:v>3.75</x:v>
      </x:c>
    </x:row>
    <x:row r="26" ht="15" hidden="0">
      <x:c r="A26" s="67" t="s">
        <x:v>125</x:v>
      </x:c>
      <x:c r="B26" s="67" t="n">
        <x:f aca="0">COUNTIF(Tasks!$D:$D,$A26)</x:f>
        <x:v>10</x:v>
      </x:c>
      <x:c r="C26" s="67" t="n">
        <x:f aca="0">COUNTIFS(Tasks!$D:$D,$A26,Tasks!$H:$H,"To do")</x:f>
        <x:v>10</x:v>
      </x:c>
      <x:c r="D26" s="67" t="n">
        <x:f aca="0">COUNTIFS(Tasks!$D:$D,$A26,Tasks!$H:$H,"Doing")</x:f>
        <x:v>0</x:v>
      </x:c>
      <x:c r="E26" s="67" t="n">
        <x:f aca="0">COUNTIFS(Tasks!$D:$D,$A26,Tasks!$H:$H,"Blocked")</x:f>
        <x:v>0</x:v>
      </x:c>
      <x:c r="F26" s="67" t="n">
        <x:f aca="0">COUNTIFS(Tasks!$D:$D,$A26,Tasks!$H:$H,"Done")</x:f>
        <x:v>0</x:v>
      </x:c>
      <x:c r="G26" s="68" t="n">
        <x:f aca="0">IFERROR(F26/B26,0)</x:f>
        <x:v>0</x:v>
      </x:c>
      <x:c r="H26" s="69" t="n">
        <x:f aca="0">SUMIF(Tasks!$D:$D,$A26,Tasks!$K:$K)</x:f>
        <x:v>9</x:v>
      </x:c>
      <x:c r="I26" s="69" t="n">
        <x:f aca="0">SUMIFS(Tasks!$K:$K,Tasks!$D:$D,$A26,Tasks!$H:$H,"&lt;&gt;Done")</x:f>
        <x:v>9</x:v>
      </x:c>
    </x:row>
    <x:row r="27" ht="15" hidden="0">
      <x:c r="A27" s="67" t="s">
        <x:v>16</x:v>
      </x:c>
      <x:c r="B27" s="67" t="n">
        <x:f aca="0">COUNTIF(Tasks!$D:$D,$A27)</x:f>
        <x:v>11</x:v>
      </x:c>
      <x:c r="C27" s="67" t="n">
        <x:f aca="0">COUNTIFS(Tasks!$D:$D,$A27,Tasks!$H:$H,"To do")</x:f>
        <x:v>11</x:v>
      </x:c>
      <x:c r="D27" s="67" t="n">
        <x:f aca="0">COUNTIFS(Tasks!$D:$D,$A27,Tasks!$H:$H,"Doing")</x:f>
        <x:v>0</x:v>
      </x:c>
      <x:c r="E27" s="67" t="n">
        <x:f aca="0">COUNTIFS(Tasks!$D:$D,$A27,Tasks!$H:$H,"Blocked")</x:f>
        <x:v>0</x:v>
      </x:c>
      <x:c r="F27" s="67" t="n">
        <x:f aca="0">COUNTIFS(Tasks!$D:$D,$A27,Tasks!$H:$H,"Done")</x:f>
        <x:v>0</x:v>
      </x:c>
      <x:c r="G27" s="68" t="n">
        <x:f aca="0">IFERROR(F27/B27,0)</x:f>
        <x:v>0</x:v>
      </x:c>
      <x:c r="H27" s="69" t="n">
        <x:f aca="0">SUMIF(Tasks!$D:$D,$A27,Tasks!$K:$K)</x:f>
        <x:v>8</x:v>
      </x:c>
      <x:c r="I27" s="69" t="n">
        <x:f aca="0">SUMIFS(Tasks!$K:$K,Tasks!$D:$D,$A27,Tasks!$H:$H,"&lt;&gt;Done")</x:f>
        <x:v>8</x:v>
      </x:c>
    </x:row>
    <x:row r="28" ht="15" hidden="0">
      <x:c r="A28" s="67" t="s">
        <x:v>51</x:v>
      </x:c>
      <x:c r="B28" s="67" t="n">
        <x:f aca="0">COUNTIF(Tasks!$D:$D,$A28)</x:f>
        <x:v>8</x:v>
      </x:c>
      <x:c r="C28" s="67" t="n">
        <x:f aca="0">COUNTIFS(Tasks!$D:$D,$A28,Tasks!$H:$H,"To do")</x:f>
        <x:v>8</x:v>
      </x:c>
      <x:c r="D28" s="67" t="n">
        <x:f aca="0">COUNTIFS(Tasks!$D:$D,$A28,Tasks!$H:$H,"Doing")</x:f>
        <x:v>0</x:v>
      </x:c>
      <x:c r="E28" s="67" t="n">
        <x:f aca="0">COUNTIFS(Tasks!$D:$D,$A28,Tasks!$H:$H,"Blocked")</x:f>
        <x:v>0</x:v>
      </x:c>
      <x:c r="F28" s="67" t="n">
        <x:f aca="0">COUNTIFS(Tasks!$D:$D,$A28,Tasks!$H:$H,"Done")</x:f>
        <x:v>0</x:v>
      </x:c>
      <x:c r="G28" s="68" t="n">
        <x:f aca="0">IFERROR(F28/B28,0)</x:f>
        <x:v>0</x:v>
      </x:c>
      <x:c r="H28" s="69" t="n">
        <x:f aca="0">SUMIF(Tasks!$D:$D,$A28,Tasks!$K:$K)</x:f>
        <x:v>8</x:v>
      </x:c>
      <x:c r="I28" s="69" t="n">
        <x:f aca="0">SUMIFS(Tasks!$K:$K,Tasks!$D:$D,$A28,Tasks!$H:$H,"&lt;&gt;Done")</x:f>
        <x:v>8</x:v>
      </x:c>
    </x:row>
    <x:row r="29" ht="15" hidden="0">
      <x:c r="A29" s="67" t="s">
        <x:v>101</x:v>
      </x:c>
      <x:c r="B29" s="67" t="n">
        <x:f aca="0">COUNTIF(Tasks!$D:$D,$A29)</x:f>
        <x:v>7</x:v>
      </x:c>
      <x:c r="C29" s="67" t="n">
        <x:f aca="0">COUNTIFS(Tasks!$D:$D,$A29,Tasks!$H:$H,"To do")</x:f>
        <x:v>7</x:v>
      </x:c>
      <x:c r="D29" s="67" t="n">
        <x:f aca="0">COUNTIFS(Tasks!$D:$D,$A29,Tasks!$H:$H,"Doing")</x:f>
        <x:v>0</x:v>
      </x:c>
      <x:c r="E29" s="67" t="n">
        <x:f aca="0">COUNTIFS(Tasks!$D:$D,$A29,Tasks!$H:$H,"Blocked")</x:f>
        <x:v>0</x:v>
      </x:c>
      <x:c r="F29" s="67" t="n">
        <x:f aca="0">COUNTIFS(Tasks!$D:$D,$A29,Tasks!$H:$H,"Done")</x:f>
        <x:v>0</x:v>
      </x:c>
      <x:c r="G29" s="68" t="n">
        <x:f aca="0">IFERROR(F29/B29,0)</x:f>
        <x:v>0</x:v>
      </x:c>
      <x:c r="H29" s="69" t="n">
        <x:f aca="0">SUMIF(Tasks!$D:$D,$A29,Tasks!$K:$K)</x:f>
        <x:v>7</x:v>
      </x:c>
      <x:c r="I29" s="69" t="n">
        <x:f aca="0">SUMIFS(Tasks!$K:$K,Tasks!$D:$D,$A29,Tasks!$H:$H,"&lt;&gt;Done")</x:f>
        <x:v>7</x:v>
      </x:c>
    </x:row>
    <x:row r="30" ht="15" hidden="0">
      <x:c r="A30" s="67" t="s">
        <x:v>134</x:v>
      </x:c>
      <x:c r="B30" s="67" t="n">
        <x:f aca="0">COUNTIF(Tasks!$D:$D,$A30)</x:f>
        <x:v>12</x:v>
      </x:c>
      <x:c r="C30" s="67" t="n">
        <x:f aca="0">COUNTIFS(Tasks!$D:$D,$A30,Tasks!$H:$H,"To do")</x:f>
        <x:v>12</x:v>
      </x:c>
      <x:c r="D30" s="67" t="n">
        <x:f aca="0">COUNTIFS(Tasks!$D:$D,$A30,Tasks!$H:$H,"Doing")</x:f>
        <x:v>0</x:v>
      </x:c>
      <x:c r="E30" s="67" t="n">
        <x:f aca="0">COUNTIFS(Tasks!$D:$D,$A30,Tasks!$H:$H,"Blocked")</x:f>
        <x:v>0</x:v>
      </x:c>
      <x:c r="F30" s="67" t="n">
        <x:f aca="0">COUNTIFS(Tasks!$D:$D,$A30,Tasks!$H:$H,"Done")</x:f>
        <x:v>0</x:v>
      </x:c>
      <x:c r="G30" s="68" t="n">
        <x:f aca="0">IFERROR(F30/B30,0)</x:f>
        <x:v>0</x:v>
      </x:c>
      <x:c r="H30" s="69" t="n">
        <x:f aca="0">SUMIF(Tasks!$D:$D,$A30,Tasks!$K:$K)</x:f>
        <x:v>13</x:v>
      </x:c>
      <x:c r="I30" s="69" t="n">
        <x:f aca="0">SUMIFS(Tasks!$K:$K,Tasks!$D:$D,$A30,Tasks!$H:$H,"&lt;&gt;Done")</x:f>
        <x:v>13</x:v>
      </x:c>
    </x:row>
    <x:row r="31" ht="15" hidden="0">
      <x:c r="A31" s="67" t="s">
        <x:v>207</x:v>
      </x:c>
      <x:c r="B31" s="67" t="n">
        <x:f aca="0">COUNTIF(Tasks!$D:$D,$A31)</x:f>
        <x:v>4</x:v>
      </x:c>
      <x:c r="C31" s="67" t="n">
        <x:f aca="0">COUNTIFS(Tasks!$D:$D,$A31,Tasks!$H:$H,"To do")</x:f>
        <x:v>4</x:v>
      </x:c>
      <x:c r="D31" s="67" t="n">
        <x:f aca="0">COUNTIFS(Tasks!$D:$D,$A31,Tasks!$H:$H,"Doing")</x:f>
        <x:v>0</x:v>
      </x:c>
      <x:c r="E31" s="67" t="n">
        <x:f aca="0">COUNTIFS(Tasks!$D:$D,$A31,Tasks!$H:$H,"Blocked")</x:f>
        <x:v>0</x:v>
      </x:c>
      <x:c r="F31" s="67" t="n">
        <x:f aca="0">COUNTIFS(Tasks!$D:$D,$A31,Tasks!$H:$H,"Done")</x:f>
        <x:v>0</x:v>
      </x:c>
      <x:c r="G31" s="68" t="n">
        <x:f aca="0">IFERROR(F31/B31,0)</x:f>
        <x:v>0</x:v>
      </x:c>
      <x:c r="H31" s="69" t="n">
        <x:f aca="0">SUMIF(Tasks!$D:$D,$A31,Tasks!$K:$K)</x:f>
        <x:v>4.5</x:v>
      </x:c>
      <x:c r="I31" s="69" t="n">
        <x:f aca="0">SUMIFS(Tasks!$K:$K,Tasks!$D:$D,$A31,Tasks!$H:$H,"&lt;&gt;Done")</x:f>
        <x:v>4.5</x:v>
      </x:c>
    </x:row>
    <x:row r="32" ht="15" hidden="0">
      <x:c r="A32" s="67" t="s">
        <x:v>264</x:v>
      </x:c>
      <x:c r="B32" s="67" t="n">
        <x:f aca="0">COUNTIF(Tasks!$D:$D,$A32)</x:f>
        <x:v>4</x:v>
      </x:c>
      <x:c r="C32" s="67" t="n">
        <x:f aca="0">COUNTIFS(Tasks!$D:$D,$A32,Tasks!$H:$H,"To do")</x:f>
        <x:v>4</x:v>
      </x:c>
      <x:c r="D32" s="67" t="n">
        <x:f aca="0">COUNTIFS(Tasks!$D:$D,$A32,Tasks!$H:$H,"Doing")</x:f>
        <x:v>0</x:v>
      </x:c>
      <x:c r="E32" s="67" t="n">
        <x:f aca="0">COUNTIFS(Tasks!$D:$D,$A32,Tasks!$H:$H,"Blocked")</x:f>
        <x:v>0</x:v>
      </x:c>
      <x:c r="F32" s="67" t="n">
        <x:f aca="0">COUNTIFS(Tasks!$D:$D,$A32,Tasks!$H:$H,"Done")</x:f>
        <x:v>0</x:v>
      </x:c>
      <x:c r="G32" s="68" t="n">
        <x:f aca="0">IFERROR(F32/B32,0)</x:f>
        <x:v>0</x:v>
      </x:c>
      <x:c r="H32" s="69" t="n">
        <x:f aca="0">SUMIF(Tasks!$D:$D,$A32,Tasks!$K:$K)</x:f>
        <x:v>4</x:v>
      </x:c>
      <x:c r="I32" s="69" t="n">
        <x:f aca="0">SUMIFS(Tasks!$K:$K,Tasks!$D:$D,$A32,Tasks!$H:$H,"&lt;&gt;Done")</x:f>
        <x:v>4</x:v>
      </x:c>
    </x:row>
    <x:row r="33" ht="15" hidden="0">
      <x:c r="A33" s="67" t="s">
        <x:v>31</x:v>
      </x:c>
      <x:c r="B33" s="67" t="n">
        <x:f aca="0">COUNTIF(Tasks!$D:$D,$A33)</x:f>
        <x:v>3</x:v>
      </x:c>
      <x:c r="C33" s="67" t="n">
        <x:f aca="0">COUNTIFS(Tasks!$D:$D,$A33,Tasks!$H:$H,"To do")</x:f>
        <x:v>3</x:v>
      </x:c>
      <x:c r="D33" s="67" t="n">
        <x:f aca="0">COUNTIFS(Tasks!$D:$D,$A33,Tasks!$H:$H,"Doing")</x:f>
        <x:v>0</x:v>
      </x:c>
      <x:c r="E33" s="67" t="n">
        <x:f aca="0">COUNTIFS(Tasks!$D:$D,$A33,Tasks!$H:$H,"Blocked")</x:f>
        <x:v>0</x:v>
      </x:c>
      <x:c r="F33" s="67" t="n">
        <x:f aca="0">COUNTIFS(Tasks!$D:$D,$A33,Tasks!$H:$H,"Done")</x:f>
        <x:v>0</x:v>
      </x:c>
      <x:c r="G33" s="68" t="n">
        <x:f aca="0">IFERROR(F33/B33,0)</x:f>
        <x:v>0</x:v>
      </x:c>
      <x:c r="H33" s="69" t="n">
        <x:f aca="0">SUMIF(Tasks!$D:$D,$A33,Tasks!$K:$K)</x:f>
        <x:v>2.5</x:v>
      </x:c>
      <x:c r="I33" s="69" t="n">
        <x:f aca="0">SUMIFS(Tasks!$K:$K,Tasks!$D:$D,$A33,Tasks!$H:$H,"&lt;&gt;Done")</x:f>
        <x:v>2.5</x:v>
      </x:c>
    </x:row>
    <x:row r="34" ht="15" hidden="0">
      <x:c r="A34" s="67" t="s">
        <x:v>175</x:v>
      </x:c>
      <x:c r="B34" s="67" t="n">
        <x:f aca="0">COUNTIF(Tasks!$D:$D,$A34)</x:f>
        <x:v>7</x:v>
      </x:c>
      <x:c r="C34" s="67" t="n">
        <x:f aca="0">COUNTIFS(Tasks!$D:$D,$A34,Tasks!$H:$H,"To do")</x:f>
        <x:v>7</x:v>
      </x:c>
      <x:c r="D34" s="67" t="n">
        <x:f aca="0">COUNTIFS(Tasks!$D:$D,$A34,Tasks!$H:$H,"Doing")</x:f>
        <x:v>0</x:v>
      </x:c>
      <x:c r="E34" s="67" t="n">
        <x:f aca="0">COUNTIFS(Tasks!$D:$D,$A34,Tasks!$H:$H,"Blocked")</x:f>
        <x:v>0</x:v>
      </x:c>
      <x:c r="F34" s="67" t="n">
        <x:f aca="0">COUNTIFS(Tasks!$D:$D,$A34,Tasks!$H:$H,"Done")</x:f>
        <x:v>0</x:v>
      </x:c>
      <x:c r="G34" s="68" t="n">
        <x:f aca="0">IFERROR(F34/B34,0)</x:f>
        <x:v>0</x:v>
      </x:c>
      <x:c r="H34" s="69" t="n">
        <x:f aca="0">SUMIF(Tasks!$D:$D,$A34,Tasks!$K:$K)</x:f>
        <x:v>7.5</x:v>
      </x:c>
      <x:c r="I34" s="69" t="n">
        <x:f aca="0">SUMIFS(Tasks!$K:$K,Tasks!$D:$D,$A34,Tasks!$H:$H,"&lt;&gt;Done")</x:f>
        <x:v>7.5</x:v>
      </x:c>
    </x:row>
    <x:row r="35" ht="15" hidden="0">
      <x:c r="A35" s="67" t="s">
        <x:v>298</x:v>
      </x:c>
      <x:c r="B35" s="67" t="n">
        <x:f aca="0">COUNTIF(Tasks!$D:$D,$A35)</x:f>
        <x:v>5</x:v>
      </x:c>
      <x:c r="C35" s="67" t="n">
        <x:f aca="0">COUNTIFS(Tasks!$D:$D,$A35,Tasks!$H:$H,"To do")</x:f>
        <x:v>5</x:v>
      </x:c>
      <x:c r="D35" s="67" t="n">
        <x:f aca="0">COUNTIFS(Tasks!$D:$D,$A35,Tasks!$H:$H,"Doing")</x:f>
        <x:v>0</x:v>
      </x:c>
      <x:c r="E35" s="67" t="n">
        <x:f aca="0">COUNTIFS(Tasks!$D:$D,$A35,Tasks!$H:$H,"Blocked")</x:f>
        <x:v>0</x:v>
      </x:c>
      <x:c r="F35" s="67" t="n">
        <x:f aca="0">COUNTIFS(Tasks!$D:$D,$A35,Tasks!$H:$H,"Done")</x:f>
        <x:v>0</x:v>
      </x:c>
      <x:c r="G35" s="68" t="n">
        <x:f aca="0">IFERROR(F35/B35,0)</x:f>
        <x:v>0</x:v>
      </x:c>
      <x:c r="H35" s="69" t="n">
        <x:f aca="0">SUMIF(Tasks!$D:$D,$A35,Tasks!$K:$K)</x:f>
        <x:v>6.5</x:v>
      </x:c>
      <x:c r="I35" s="69" t="n">
        <x:f aca="0">SUMIFS(Tasks!$K:$K,Tasks!$D:$D,$A35,Tasks!$H:$H,"&lt;&gt;Done")</x:f>
        <x:v>6.5</x:v>
      </x:c>
    </x:row>
    <x:row r="36" ht="15" hidden="0">
      <x:c r="A36" s="77" t="s">
        <x:v>347</x:v>
      </x:c>
      <x:c r="B36" s="77" t="n">
        <x:f aca="0">SUM(B25:B35)</x:f>
        <x:v>77</x:v>
      </x:c>
      <x:c r="C36" s="77" t="n">
        <x:f aca="0">SUM(C25:C35)</x:f>
        <x:v>77</x:v>
      </x:c>
      <x:c r="D36" s="77" t="n">
        <x:f aca="0">SUM(D25:D35)</x:f>
        <x:v>0</x:v>
      </x:c>
      <x:c r="E36" s="77" t="n">
        <x:f aca="0">SUM(E25:E35)</x:f>
        <x:v>0</x:v>
      </x:c>
      <x:c r="F36" s="77" t="n">
        <x:f aca="0">SUM(F25:F35)</x:f>
        <x:v>0</x:v>
      </x:c>
      <x:c r="G36" s="78" t="n">
        <x:f aca="0">IFERROR(F36/B36,0)</x:f>
        <x:v>0</x:v>
      </x:c>
      <x:c r="H36" s="79" t="n">
        <x:f aca="0">SUM(H25:H35)</x:f>
        <x:v>73.75</x:v>
      </x:c>
      <x:c r="I36" s="79" t="n">
        <x:f aca="0">SUM(I25:I35)</x:f>
        <x:v>73.75</x:v>
      </x:c>
    </x:row>
    <x:row r="38" ht="15" hidden="0">
      <x:c r="A38" s="65" t="s">
        <x:v>356</x:v>
      </x:c>
    </x:row>
    <x:row r="39" ht="15" hidden="0">
      <x:c r="A39" s="66"/>
      <x:c r="B39" s="66" t="s">
        <x:v>347</x:v>
      </x:c>
      <x:c r="C39" s="66" t="s">
        <x:v>19</x:v>
      </x:c>
      <x:c r="D39" s="66" t="s">
        <x:v>348</x:v>
      </x:c>
      <x:c r="E39" s="66" t="s">
        <x:v>349</x:v>
      </x:c>
      <x:c r="F39" s="66" t="s">
        <x:v>350</x:v>
      </x:c>
      <x:c r="G39" s="66" t="s">
        <x:v>351</x:v>
      </x:c>
      <x:c r="H39" s="66" t="s">
        <x:v>352</x:v>
      </x:c>
      <x:c r="I39" s="66" t="s">
        <x:v>353</x:v>
      </x:c>
    </x:row>
    <x:row r="40" ht="15" hidden="0">
      <x:c r="A40" s="67" t="str">
        <x:f aca="0">IF(People!A2="","",People!A2)</x:f>
        <x:v>Member 1</x:v>
      </x:c>
      <x:c r="B40" s="67" t="n">
        <x:f aca="0">IF($A40="",0,COUNTIF(Tasks!$G:$G,$A40))</x:f>
        <x:v>0</x:v>
      </x:c>
      <x:c r="C40" s="67" t="n">
        <x:f aca="0">IF($A40="",0,COUNTIFS(Tasks!$G:$G,$A40,Tasks!$H:$H,"To do"))</x:f>
        <x:v>0</x:v>
      </x:c>
      <x:c r="D40" s="67" t="n">
        <x:f aca="0">IF($A40="",0,COUNTIFS(Tasks!$G:$G,$A40,Tasks!$H:$H,"Doing"))</x:f>
        <x:v>0</x:v>
      </x:c>
      <x:c r="E40" s="67" t="n">
        <x:f aca="0">IF($A40="",0,COUNTIFS(Tasks!$G:$G,$A40,Tasks!$H:$H,"Blocked"))</x:f>
        <x:v>0</x:v>
      </x:c>
      <x:c r="F40" s="67" t="n">
        <x:f aca="0">IF($A40="",0,COUNTIFS(Tasks!$G:$G,$A40,Tasks!$H:$H,"Done"))</x:f>
        <x:v>0</x:v>
      </x:c>
      <x:c r="G40" s="68" t="n">
        <x:f aca="0">IFERROR(F40/B40,0)</x:f>
        <x:v>0</x:v>
      </x:c>
      <x:c r="H40" s="69" t="n">
        <x:f aca="0">IF($A40="",0,SUMIF(Tasks!$G:$G,$A40,Tasks!$K:$K))</x:f>
        <x:v>0</x:v>
      </x:c>
      <x:c r="I40" s="69" t="n">
        <x:f aca="0">IF($A40="",0,SUMIFS(Tasks!$K:$K,Tasks!$G:$G,$A40,Tasks!$H:$H,"&lt;&gt;Done"))</x:f>
        <x:v>0</x:v>
      </x:c>
    </x:row>
    <x:row r="41" ht="15" hidden="0">
      <x:c r="A41" s="67" t="str">
        <x:f aca="0">IF(People!A3="","",People!A3)</x:f>
        <x:v>Member 2</x:v>
      </x:c>
      <x:c r="B41" s="67" t="n">
        <x:f aca="0">IF($A41="",0,COUNTIF(Tasks!$G:$G,$A41))</x:f>
        <x:v>0</x:v>
      </x:c>
      <x:c r="C41" s="67" t="n">
        <x:f aca="0">IF($A41="",0,COUNTIFS(Tasks!$G:$G,$A41,Tasks!$H:$H,"To do"))</x:f>
        <x:v>0</x:v>
      </x:c>
      <x:c r="D41" s="67" t="n">
        <x:f aca="0">IF($A41="",0,COUNTIFS(Tasks!$G:$G,$A41,Tasks!$H:$H,"Doing"))</x:f>
        <x:v>0</x:v>
      </x:c>
      <x:c r="E41" s="67" t="n">
        <x:f aca="0">IF($A41="",0,COUNTIFS(Tasks!$G:$G,$A41,Tasks!$H:$H,"Blocked"))</x:f>
        <x:v>0</x:v>
      </x:c>
      <x:c r="F41" s="67" t="n">
        <x:f aca="0">IF($A41="",0,COUNTIFS(Tasks!$G:$G,$A41,Tasks!$H:$H,"Done"))</x:f>
        <x:v>0</x:v>
      </x:c>
      <x:c r="G41" s="68" t="n">
        <x:f aca="0">IFERROR(F41/B41,0)</x:f>
        <x:v>0</x:v>
      </x:c>
      <x:c r="H41" s="69" t="n">
        <x:f aca="0">IF($A41="",0,SUMIF(Tasks!$G:$G,$A41,Tasks!$K:$K))</x:f>
        <x:v>0</x:v>
      </x:c>
      <x:c r="I41" s="69" t="n">
        <x:f aca="0">IF($A41="",0,SUMIFS(Tasks!$K:$K,Tasks!$G:$G,$A41,Tasks!$H:$H,"&lt;&gt;Done"))</x:f>
        <x:v>0</x:v>
      </x:c>
    </x:row>
    <x:row r="42" ht="15" hidden="0">
      <x:c r="A42" s="67" t="str">
        <x:f aca="0">IF(People!A4="","",People!A4)</x:f>
        <x:v>Member 3</x:v>
      </x:c>
      <x:c r="B42" s="67" t="n">
        <x:f aca="0">IF($A42="",0,COUNTIF(Tasks!$G:$G,$A42))</x:f>
        <x:v>0</x:v>
      </x:c>
      <x:c r="C42" s="67" t="n">
        <x:f aca="0">IF($A42="",0,COUNTIFS(Tasks!$G:$G,$A42,Tasks!$H:$H,"To do"))</x:f>
        <x:v>0</x:v>
      </x:c>
      <x:c r="D42" s="67" t="n">
        <x:f aca="0">IF($A42="",0,COUNTIFS(Tasks!$G:$G,$A42,Tasks!$H:$H,"Doing"))</x:f>
        <x:v>0</x:v>
      </x:c>
      <x:c r="E42" s="67" t="n">
        <x:f aca="0">IF($A42="",0,COUNTIFS(Tasks!$G:$G,$A42,Tasks!$H:$H,"Blocked"))</x:f>
        <x:v>0</x:v>
      </x:c>
      <x:c r="F42" s="67" t="n">
        <x:f aca="0">IF($A42="",0,COUNTIFS(Tasks!$G:$G,$A42,Tasks!$H:$H,"Done"))</x:f>
        <x:v>0</x:v>
      </x:c>
      <x:c r="G42" s="68" t="n">
        <x:f aca="0">IFERROR(F42/B42,0)</x:f>
        <x:v>0</x:v>
      </x:c>
      <x:c r="H42" s="69" t="n">
        <x:f aca="0">IF($A42="",0,SUMIF(Tasks!$G:$G,$A42,Tasks!$K:$K))</x:f>
        <x:v>0</x:v>
      </x:c>
      <x:c r="I42" s="69" t="n">
        <x:f aca="0">IF($A42="",0,SUMIFS(Tasks!$K:$K,Tasks!$G:$G,$A42,Tasks!$H:$H,"&lt;&gt;Done"))</x:f>
        <x:v>0</x:v>
      </x:c>
    </x:row>
    <x:row r="43" ht="15" hidden="0">
      <x:c r="A43" s="67" t="str">
        <x:f aca="0">IF(People!A5="","",People!A5)</x:f>
      </x:c>
      <x:c r="B43" s="67" t="n">
        <x:f aca="0">IF($A43="",0,COUNTIF(Tasks!$G:$G,$A43))</x:f>
        <x:v>0</x:v>
      </x:c>
      <x:c r="C43" s="67" t="n">
        <x:f aca="0">IF($A43="",0,COUNTIFS(Tasks!$G:$G,$A43,Tasks!$H:$H,"To do"))</x:f>
        <x:v>0</x:v>
      </x:c>
      <x:c r="D43" s="67" t="n">
        <x:f aca="0">IF($A43="",0,COUNTIFS(Tasks!$G:$G,$A43,Tasks!$H:$H,"Doing"))</x:f>
        <x:v>0</x:v>
      </x:c>
      <x:c r="E43" s="67" t="n">
        <x:f aca="0">IF($A43="",0,COUNTIFS(Tasks!$G:$G,$A43,Tasks!$H:$H,"Blocked"))</x:f>
        <x:v>0</x:v>
      </x:c>
      <x:c r="F43" s="67" t="n">
        <x:f aca="0">IF($A43="",0,COUNTIFS(Tasks!$G:$G,$A43,Tasks!$H:$H,"Done"))</x:f>
        <x:v>0</x:v>
      </x:c>
      <x:c r="G43" s="68" t="n">
        <x:f aca="0">IFERROR(F43/B43,0)</x:f>
        <x:v>0</x:v>
      </x:c>
      <x:c r="H43" s="69" t="n">
        <x:f aca="0">IF($A43="",0,SUMIF(Tasks!$G:$G,$A43,Tasks!$K:$K))</x:f>
        <x:v>0</x:v>
      </x:c>
      <x:c r="I43" s="69" t="n">
        <x:f aca="0">IF($A43="",0,SUMIFS(Tasks!$K:$K,Tasks!$G:$G,$A43,Tasks!$H:$H,"&lt;&gt;Done"))</x:f>
        <x:v>0</x:v>
      </x:c>
    </x:row>
    <x:row r="44" ht="15" hidden="0">
      <x:c r="A44" s="67" t="str">
        <x:f aca="0">IF(People!A6="","",People!A6)</x:f>
      </x:c>
      <x:c r="B44" s="67" t="n">
        <x:f aca="0">IF($A44="",0,COUNTIF(Tasks!$G:$G,$A44))</x:f>
        <x:v>0</x:v>
      </x:c>
      <x:c r="C44" s="67" t="n">
        <x:f aca="0">IF($A44="",0,COUNTIFS(Tasks!$G:$G,$A44,Tasks!$H:$H,"To do"))</x:f>
        <x:v>0</x:v>
      </x:c>
      <x:c r="D44" s="67" t="n">
        <x:f aca="0">IF($A44="",0,COUNTIFS(Tasks!$G:$G,$A44,Tasks!$H:$H,"Doing"))</x:f>
        <x:v>0</x:v>
      </x:c>
      <x:c r="E44" s="67" t="n">
        <x:f aca="0">IF($A44="",0,COUNTIFS(Tasks!$G:$G,$A44,Tasks!$H:$H,"Blocked"))</x:f>
        <x:v>0</x:v>
      </x:c>
      <x:c r="F44" s="67" t="n">
        <x:f aca="0">IF($A44="",0,COUNTIFS(Tasks!$G:$G,$A44,Tasks!$H:$H,"Done"))</x:f>
        <x:v>0</x:v>
      </x:c>
      <x:c r="G44" s="68" t="n">
        <x:f aca="0">IFERROR(F44/B44,0)</x:f>
        <x:v>0</x:v>
      </x:c>
      <x:c r="H44" s="69" t="n">
        <x:f aca="0">IF($A44="",0,SUMIF(Tasks!$G:$G,$A44,Tasks!$K:$K))</x:f>
        <x:v>0</x:v>
      </x:c>
      <x:c r="I44" s="69" t="n">
        <x:f aca="0">IF($A44="",0,SUMIFS(Tasks!$K:$K,Tasks!$G:$G,$A44,Tasks!$H:$H,"&lt;&gt;Done"))</x:f>
        <x:v>0</x:v>
      </x:c>
    </x:row>
    <x:row r="45" ht="15" hidden="0">
      <x:c r="A45" s="67" t="str">
        <x:f aca="0">IF(People!A7="","",People!A7)</x:f>
      </x:c>
      <x:c r="B45" s="67" t="n">
        <x:f aca="0">IF($A45="",0,COUNTIF(Tasks!$G:$G,$A45))</x:f>
        <x:v>0</x:v>
      </x:c>
      <x:c r="C45" s="67" t="n">
        <x:f aca="0">IF($A45="",0,COUNTIFS(Tasks!$G:$G,$A45,Tasks!$H:$H,"To do"))</x:f>
        <x:v>0</x:v>
      </x:c>
      <x:c r="D45" s="67" t="n">
        <x:f aca="0">IF($A45="",0,COUNTIFS(Tasks!$G:$G,$A45,Tasks!$H:$H,"Doing"))</x:f>
        <x:v>0</x:v>
      </x:c>
      <x:c r="E45" s="67" t="n">
        <x:f aca="0">IF($A45="",0,COUNTIFS(Tasks!$G:$G,$A45,Tasks!$H:$H,"Blocked"))</x:f>
        <x:v>0</x:v>
      </x:c>
      <x:c r="F45" s="67" t="n">
        <x:f aca="0">IF($A45="",0,COUNTIFS(Tasks!$G:$G,$A45,Tasks!$H:$H,"Done"))</x:f>
        <x:v>0</x:v>
      </x:c>
      <x:c r="G45" s="68" t="n">
        <x:f aca="0">IFERROR(F45/B45,0)</x:f>
        <x:v>0</x:v>
      </x:c>
      <x:c r="H45" s="69" t="n">
        <x:f aca="0">IF($A45="",0,SUMIF(Tasks!$G:$G,$A45,Tasks!$K:$K))</x:f>
        <x:v>0</x:v>
      </x:c>
      <x:c r="I45" s="69" t="n">
        <x:f aca="0">IF($A45="",0,SUMIFS(Tasks!$K:$K,Tasks!$G:$G,$A45,Tasks!$H:$H,"&lt;&gt;Done"))</x:f>
        <x:v>0</x:v>
      </x:c>
    </x:row>
    <x:row r="46" ht="15" hidden="0">
      <x:c r="A46" s="67" t="str">
        <x:f aca="0">IF(People!A8="","",People!A8)</x:f>
      </x:c>
      <x:c r="B46" s="67" t="n">
        <x:f aca="0">IF($A46="",0,COUNTIF(Tasks!$G:$G,$A46))</x:f>
        <x:v>0</x:v>
      </x:c>
      <x:c r="C46" s="67" t="n">
        <x:f aca="0">IF($A46="",0,COUNTIFS(Tasks!$G:$G,$A46,Tasks!$H:$H,"To do"))</x:f>
        <x:v>0</x:v>
      </x:c>
      <x:c r="D46" s="67" t="n">
        <x:f aca="0">IF($A46="",0,COUNTIFS(Tasks!$G:$G,$A46,Tasks!$H:$H,"Doing"))</x:f>
        <x:v>0</x:v>
      </x:c>
      <x:c r="E46" s="67" t="n">
        <x:f aca="0">IF($A46="",0,COUNTIFS(Tasks!$G:$G,$A46,Tasks!$H:$H,"Blocked"))</x:f>
        <x:v>0</x:v>
      </x:c>
      <x:c r="F46" s="67" t="n">
        <x:f aca="0">IF($A46="",0,COUNTIFS(Tasks!$G:$G,$A46,Tasks!$H:$H,"Done"))</x:f>
        <x:v>0</x:v>
      </x:c>
      <x:c r="G46" s="68" t="n">
        <x:f aca="0">IFERROR(F46/B46,0)</x:f>
        <x:v>0</x:v>
      </x:c>
      <x:c r="H46" s="69" t="n">
        <x:f aca="0">IF($A46="",0,SUMIF(Tasks!$G:$G,$A46,Tasks!$K:$K))</x:f>
        <x:v>0</x:v>
      </x:c>
      <x:c r="I46" s="69" t="n">
        <x:f aca="0">IF($A46="",0,SUMIFS(Tasks!$K:$K,Tasks!$G:$G,$A46,Tasks!$H:$H,"&lt;&gt;Done"))</x:f>
        <x:v>0</x:v>
      </x:c>
    </x:row>
    <x:row r="47" ht="15" hidden="0">
      <x:c r="A47" s="77" t="s">
        <x:v>347</x:v>
      </x:c>
      <x:c r="B47" s="77" t="n">
        <x:f aca="0">SUM(B40:B46)</x:f>
        <x:v>0</x:v>
      </x:c>
      <x:c r="C47" s="77" t="n">
        <x:f aca="0">SUM(C40:C46)</x:f>
        <x:v>0</x:v>
      </x:c>
      <x:c r="D47" s="77" t="n">
        <x:f aca="0">SUM(D40:D46)</x:f>
        <x:v>0</x:v>
      </x:c>
      <x:c r="E47" s="77" t="n">
        <x:f aca="0">SUM(E40:E46)</x:f>
        <x:v>0</x:v>
      </x:c>
      <x:c r="F47" s="77" t="n">
        <x:f aca="0">SUM(F40:F46)</x:f>
        <x:v>0</x:v>
      </x:c>
      <x:c r="G47" s="78" t="n">
        <x:f aca="0">IFERROR(F47/B47,0)</x:f>
        <x:v>0</x:v>
      </x:c>
      <x:c r="H47" s="79" t="n">
        <x:f aca="0">SUM(H40:H46)</x:f>
        <x:v>0</x:v>
      </x:c>
      <x:c r="I47" s="79" t="n">
        <x:f aca="0">SUM(I40:I46)</x:f>
        <x:v>0</x:v>
      </x:c>
    </x:row>
    <x:row r="49" ht="15" hidden="0">
      <x:c r="A49" s="64" t="s">
        <x:v>357</x:v>
      </x:c>
    </x:row>
    <x:row r="50" ht="15" hidden="0">
      <x:c r="A50" s="64" t="s">
        <x:v>358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2" hidden="0" customWidth="1"/>
    <x:col min="2" max="2" width="24" hidden="0" customWidth="1"/>
    <x:col min="3" max="3" width="46" hidden="0" customWidth="1"/>
    <x:col min="4" max="4" width="18" hidden="0" customWidth="1"/>
  </x:cols>
  <x:sheetData>
    <x:row r="1" ht="15" hidden="0">
      <x:c r="A1" s="80" t="s">
        <x:v>359</x:v>
      </x:c>
      <x:c r="B1" s="81" t="s">
        <x:v>360</x:v>
      </x:c>
      <x:c r="C1" s="81" t="s">
        <x:v>361</x:v>
      </x:c>
      <x:c r="D1" s="80" t="s">
        <x:v>362</x:v>
      </x:c>
    </x:row>
    <x:row r="2" ht="15" hidden="0">
      <x:c r="A2" s="67" t="s">
        <x:v>363</x:v>
      </x:c>
      <x:c r="B2" s="67" t="s">
        <x:v>364</x:v>
      </x:c>
      <x:c r="C2" s="67" t="s">
        <x:v>365</x:v>
      </x:c>
      <x:c r="D2" s="67" t="n">
        <x:v>2</x:v>
      </x:c>
    </x:row>
    <x:row r="3" ht="15" hidden="0">
      <x:c r="A3" s="67" t="s">
        <x:v>366</x:v>
      </x:c>
      <x:c r="B3" s="67" t="s">
        <x:v>367</x:v>
      </x:c>
      <x:c r="C3" s="67" t="s">
        <x:v>368</x:v>
      </x:c>
      <x:c r="D3" s="67" t="n">
        <x:v>2</x:v>
      </x:c>
    </x:row>
    <x:row r="4" ht="15" hidden="0">
      <x:c r="A4" s="67" t="s">
        <x:v>369</x:v>
      </x:c>
      <x:c r="B4" s="67" t="s">
        <x:v>134</x:v>
      </x:c>
      <x:c r="C4" s="67" t="s">
        <x:v>370</x:v>
      </x:c>
      <x:c r="D4" s="67" t="n">
        <x:v>2</x:v>
      </x:c>
    </x:row>
    <x:row r="5" ht="15" hidden="0">
      <x:c r="A5" s="82"/>
      <x:c r="B5" s="82"/>
      <x:c r="C5" s="82"/>
      <x:c r="D5" s="82"/>
    </x:row>
    <x:row r="6" ht="15" hidden="0">
      <x:c r="A6" s="82"/>
      <x:c r="B6" s="82"/>
      <x:c r="C6" s="82"/>
      <x:c r="D6" s="82"/>
    </x:row>
    <x:row r="7" ht="15" hidden="0">
      <x:c r="A7" s="82"/>
      <x:c r="B7" s="82"/>
      <x:c r="C7" s="82"/>
      <x:c r="D7" s="82"/>
    </x:row>
    <x:row r="8" ht="15" hidden="0">
      <x:c r="A8" s="82"/>
      <x:c r="B8" s="82"/>
      <x:c r="C8" s="82"/>
      <x:c r="D8" s="82"/>
    </x:row>
    <x:row r="9" ht="15" hidden="0">
      <x:c r="A9" s="82"/>
      <x:c r="B9" s="82"/>
      <x:c r="C9" s="82"/>
      <x:c r="D9" s="82"/>
    </x:row>
    <x:row r="10" ht="15" hidden="0">
      <x:c r="A10" s="82"/>
      <x:c r="B10" s="82"/>
      <x:c r="C10" s="82"/>
      <x:c r="D10" s="82"/>
    </x:row>
    <x:row r="11" ht="15" hidden="0">
      <x:c r="A11" s="82"/>
      <x:c r="B11" s="82"/>
      <x:c r="C11" s="82"/>
      <x:c r="D11" s="82"/>
    </x:row>
    <x:row r="12" ht="15" hidden="0">
      <x:c r="A12" s="82"/>
      <x:c r="B12" s="82"/>
      <x:c r="C12" s="82"/>
      <x:c r="D12" s="82"/>
    </x:row>
    <x:row r="13" ht="15" hidden="0">
      <x:c r="A13" s="82"/>
      <x:c r="B13" s="82"/>
      <x:c r="C13" s="82"/>
      <x:c r="D13" s="82"/>
    </x:row>
    <x:row r="14" ht="15" hidden="0">
      <x:c r="A14" s="82"/>
      <x:c r="B14" s="82"/>
      <x:c r="C14" s="82"/>
      <x:c r="D14" s="82"/>
    </x:row>
    <x:row r="15" ht="15" hidden="0">
      <x:c r="A15" s="82"/>
      <x:c r="B15" s="82"/>
      <x:c r="C15" s="82"/>
      <x:c r="D15" s="82"/>
    </x:row>
    <x:row r="17" ht="15" hidden="0">
      <x:c r="A17" s="65" t="s">
        <x:v>371</x:v>
      </x:c>
      <x:c r="D17" s="83" t="n">
        <x:f aca="0">SUM(D2:D15)</x:f>
        <x:v>6</x:v>
      </x:c>
    </x:row>
    <x:row r="19" ht="15" hidden="0" customHeight="1">
      <x:c r="A19" s="84" t="s">
        <x:v>372</x:v>
      </x:c>
      <x:c r="B19" s="84"/>
      <x:c r="C19" s="84"/>
      <x:c r="D19" s="84"/>
    </x:row>
    <x:row r="20" ht="15" hidden="0">
      <x:c r="A20" s="84"/>
      <x:c r="B20" s="84"/>
      <x:c r="C20" s="84"/>
      <x:c r="D20" s="84"/>
    </x:row>
    <x:row r="21" ht="15" hidden="0">
      <x:c r="A21" s="84"/>
      <x:c r="B21" s="84"/>
      <x:c r="C21" s="84"/>
      <x:c r="D21" s="84"/>
    </x:row>
  </x:sheetData>
  <x:mergeCells>
    <x:mergeCell ref="A19:D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2" hidden="0" customWidth="1"/>
    <x:col min="2" max="2" width="96" hidden="0" customWidth="1"/>
  </x:cols>
  <x:sheetData>
    <x:row r="1" ht="17.350000381469727" hidden="0">
      <x:c r="A1" s="85" t="s">
        <x:v>373</x:v>
      </x:c>
      <x:c r="B1" s="86"/>
    </x:row>
    <x:row r="2" ht="15" hidden="0">
      <x:c r="A2" s="87" t="s">
        <x:v>374</x:v>
      </x:c>
      <x:c r="B2" s="88" t="s">
        <x:v>375</x:v>
      </x:c>
    </x:row>
    <x:row r="3" ht="15" hidden="0">
      <x:c r="A3" s="87" t="s">
        <x:v>376</x:v>
      </x:c>
      <x:c r="B3" s="88" t="str">
        <x:v>Recommended platform implementation order first, followed by remaining tasks in their original order. Target weeks and priorities remain unchanged.</x:v>
      </x:c>
    </x:row>
    <x:row r="4" ht="15" hidden="0">
      <x:c r="A4" s="87" t="s">
        <x:v>377</x:v>
      </x:c>
      <x:c r="B4" s="88" t="s">
        <x:v>378</x:v>
      </x:c>
    </x:row>
    <x:row r="5" ht="15" hidden="0">
      <x:c r="A5" s="87" t="s">
        <x:v>379</x:v>
      </x:c>
      <x:c r="B5" s="88" t="s">
        <x:v>380</x:v>
      </x:c>
    </x:row>
    <x:row r="6" ht="23.850000381469727" hidden="0">
      <x:c r="A6" s="87" t="s">
        <x:v>381</x:v>
      </x:c>
      <x:c r="B6" s="88" t="s">
        <x:v>382</x:v>
      </x:c>
    </x:row>
    <x:row r="7" ht="23.850000381469727" hidden="0">
      <x:c r="A7" s="87" t="s">
        <x:v>383</x:v>
      </x:c>
      <x:c r="B7" s="88" t="str">
        <x:v>Row order is the recommended work sequence, not a deadline sort. Check Depends on before starting; other team members may own prerequisites. Status is maintained separately in the online tracker.</x:v>
      </x:c>
    </x:row>
    <x:row r="8" ht="15" hidden="0">
      <x:c r="A8" s="65"/>
      <x:c r="B8" s="88"/>
    </x:row>
    <x:row r="9" ht="23.850000381469727" hidden="0">
      <x:c r="A9" s="89" t="s">
        <x:v>384</x:v>
      </x:c>
      <x:c r="B9" s="86" t="s">
        <x:v>385</x:v>
      </x:c>
    </x:row>
    <x:row r="10" ht="15" hidden="0">
      <x:c r="A10" s="90" t="s">
        <x:v>14</x:v>
      </x:c>
      <x:c r="B10" s="88" t="s">
        <x:v>386</x:v>
      </x:c>
    </x:row>
    <x:row r="11" ht="15" hidden="0">
      <x:c r="A11" s="91" t="s">
        <x:v>23</x:v>
      </x:c>
      <x:c r="B11" s="88" t="s">
        <x:v>387</x:v>
      </x:c>
    </x:row>
    <x:row r="12" ht="15" hidden="0">
      <x:c r="A12" s="92" t="s">
        <x:v>29</x:v>
      </x:c>
      <x:c r="B12" s="88" t="s">
        <x:v>388</x:v>
      </x:c>
    </x:row>
    <x:row r="13" ht="15" hidden="0">
      <x:c r="A13" s="93" t="s">
        <x:v>183</x:v>
      </x:c>
      <x:c r="B13" s="88" t="s">
        <x:v>389</x:v>
      </x:c>
    </x:row>
    <x:row r="14" ht="15" hidden="0">
      <x:c r="A14" s="94" t="s">
        <x:v>230</x:v>
      </x:c>
      <x:c r="B14" s="88" t="s">
        <x:v>390</x:v>
      </x:c>
    </x:row>
    <x:row r="15" ht="15" hidden="0">
      <x:c r="A15" s="95" t="s">
        <x:v>283</x:v>
      </x:c>
      <x:c r="B15" s="88" t="s">
        <x:v>391</x:v>
      </x:c>
    </x:row>
    <x:row r="16" ht="15" hidden="0">
      <x:c r="A16" s="96" t="s">
        <x:v>328</x:v>
      </x:c>
      <x:c r="B16" s="88" t="s">
        <x:v>392</x:v>
      </x:c>
    </x:row>
    <x:row r="17" ht="15" hidden="0">
      <x:c r="A17" s="97" t="s">
        <x:v>333</x:v>
      </x:c>
      <x:c r="B17" s="88" t="s">
        <x:v>393</x:v>
      </x:c>
    </x:row>
    <x:row r="18" ht="15" hidden="0">
      <x:c r="A18" s="65"/>
      <x:c r="B18" s="88"/>
    </x:row>
    <x:row r="19" ht="15" hidden="0">
      <x:c r="A19" s="89" t="s">
        <x:v>394</x:v>
      </x:c>
      <x:c r="B19" s="86" t="s">
        <x:v>395</x:v>
      </x:c>
    </x:row>
    <x:row r="20" ht="15" hidden="0">
      <x:c r="A20" s="87" t="s">
        <x:v>0</x:v>
      </x:c>
      <x:c r="B20" s="88" t="s">
        <x:v>396</x:v>
      </x:c>
    </x:row>
    <x:row r="21" ht="15" hidden="0">
      <x:c r="A21" s="87" t="s">
        <x:v>1</x:v>
      </x:c>
      <x:c r="B21" s="88" t="s">
        <x:v>397</x:v>
      </x:c>
    </x:row>
    <x:row r="22" ht="23.850000381469727" hidden="0">
      <x:c r="A22" s="87" t="s">
        <x:v>2</x:v>
      </x:c>
      <x:c r="B22" s="88" t="s">
        <x:v>398</x:v>
      </x:c>
    </x:row>
    <x:row r="23" ht="15" hidden="0">
      <x:c r="A23" s="87" t="s">
        <x:v>3</x:v>
      </x:c>
      <x:c r="B23" s="88" t="s">
        <x:v>399</x:v>
      </x:c>
    </x:row>
    <x:row r="24" ht="15" hidden="0">
      <x:c r="A24" s="87" t="s">
        <x:v>4</x:v>
      </x:c>
      <x:c r="B24" s="88" t="s">
        <x:v>400</x:v>
      </x:c>
    </x:row>
    <x:row r="25" ht="23.850000381469727" hidden="0">
      <x:c r="A25" s="87" t="s">
        <x:v>5</x:v>
      </x:c>
      <x:c r="B25" s="88" t="s">
        <x:v>401</x:v>
      </x:c>
    </x:row>
    <x:row r="26" ht="15" hidden="0">
      <x:c r="A26" s="87" t="s">
        <x:v>6</x:v>
      </x:c>
      <x:c r="B26" s="88" t="s">
        <x:v>402</x:v>
      </x:c>
    </x:row>
    <x:row r="27" ht="23.850000381469727" hidden="0">
      <x:c r="A27" s="87" t="s">
        <x:v>7</x:v>
      </x:c>
      <x:c r="B27" s="88" t="s">
        <x:v>403</x:v>
      </x:c>
    </x:row>
    <x:row r="28" ht="15" hidden="0">
      <x:c r="A28" s="87" t="s">
        <x:v>8</x:v>
      </x:c>
      <x:c r="B28" s="88" t="s">
        <x:v>404</x:v>
      </x:c>
    </x:row>
    <x:row r="29" ht="23.850000381469727" hidden="0">
      <x:c r="A29" s="87" t="s">
        <x:v>9</x:v>
      </x:c>
      <x:c r="B29" s="88" t="s">
        <x:v>405</x:v>
      </x:c>
    </x:row>
    <x:row r="30" ht="15" hidden="0">
      <x:c r="A30" s="87" t="s">
        <x:v>10</x:v>
      </x:c>
      <x:c r="B30" s="88" t="s">
        <x:v>406</x:v>
      </x:c>
    </x:row>
    <x:row r="31" ht="23.850000381469727" hidden="0">
      <x:c r="A31" s="87" t="s">
        <x:v>11</x:v>
      </x:c>
      <x:c r="B31" s="88" t="s">
        <x:v>407</x:v>
      </x:c>
    </x:row>
    <x:row r="32" ht="15" hidden="0">
      <x:c r="A32" s="87" t="s">
        <x:v>12</x:v>
      </x:c>
      <x:c r="B32" s="88" t="s">
        <x:v>408</x:v>
      </x:c>
    </x:row>
    <x:row r="33" ht="15" hidden="0">
      <x:c r="A33" s="87" t="s">
        <x:v>13</x:v>
      </x:c>
      <x:c r="B33" s="88" t="s">
        <x:v>409</x:v>
      </x:c>
    </x:row>
    <x:row r="34" ht="15" hidden="0">
      <x:c r="A34" s="65"/>
      <x:c r="B34" s="88"/>
    </x:row>
    <x:row r="35" ht="15" hidden="0">
      <x:c r="A35" s="89" t="s">
        <x:v>8</x:v>
      </x:c>
      <x:c r="B35" s="86" t="s">
        <x:v>395</x:v>
      </x:c>
    </x:row>
    <x:row r="36" ht="23.850000381469727" hidden="0">
      <x:c r="A36" s="87" t="s">
        <x:v>20</x:v>
      </x:c>
      <x:c r="B36" s="88" t="s">
        <x:v>410</x:v>
      </x:c>
    </x:row>
    <x:row r="37" ht="15" hidden="0">
      <x:c r="A37" s="87" t="s">
        <x:v>78</x:v>
      </x:c>
      <x:c r="B37" s="88" t="s">
        <x:v>411</x:v>
      </x:c>
    </x:row>
    <x:row r="38" ht="23.850000381469727" hidden="0">
      <x:c r="A38" s="87" t="s">
        <x:v>63</x:v>
      </x:c>
      <x:c r="B38" s="88" t="s">
        <x:v>412</x:v>
      </x:c>
    </x:row>
    <x:row r="39" ht="15" hidden="0">
      <x:c r="A39" s="65"/>
      <x:c r="B39" s="88"/>
    </x:row>
    <x:row r="40" ht="15" hidden="0">
      <x:c r="A40" s="89" t="s">
        <x:v>413</x:v>
      </x:c>
      <x:c r="B40" s="86" t="s">
        <x:v>414</x:v>
      </x:c>
    </x:row>
    <x:row r="41" ht="15" hidden="0">
      <x:c r="A41" s="87" t="s">
        <x:v>415</x:v>
      </x:c>
      <x:c r="B41" s="88" t="s">
        <x:v>416</x:v>
      </x:c>
    </x:row>
    <x:row r="42" ht="23.850000381469727" hidden="0">
      <x:c r="A42" s="87" t="s">
        <x:v>417</x:v>
      </x:c>
      <x:c r="B42" s="88" t="s">
        <x:v>418</x:v>
      </x:c>
    </x:row>
    <x:row r="43" ht="23.850000381469727" hidden="0">
      <x:c r="A43" s="87" t="s">
        <x:v>419</x:v>
      </x:c>
      <x:c r="B43" s="88" t="s">
        <x:v>420</x:v>
      </x:c>
    </x:row>
    <x:row r="44" ht="15" hidden="0">
      <x:c r="A44" s="65"/>
      <x:c r="B44" s="88"/>
    </x:row>
    <x:row r="45" ht="15" hidden="0">
      <x:c r="A45" s="89" t="s">
        <x:v>421</x:v>
      </x:c>
      <x:c r="B45" s="86" t="s">
        <x:v>422</x:v>
      </x:c>
    </x:row>
    <x:row r="46" ht="23.850000381469727" hidden="0">
      <x:c r="A46" s="87"/>
      <x:c r="B46" s="88" t="s">
        <x:v>423</x:v>
      </x:c>
    </x:row>
  </x:sheetData>
  <x:pageMargins left="0.7" right="0.7" top="0.75" bottom="0.75" header="0.3" footer="0.3"/>
</x:worksheet>
</file>